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8edf29ac6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zadani" sheetId="1" r:id="Rac3e9609ad954edd"/>
    <x:sheet xmlns:r="http://schemas.openxmlformats.org/officeDocument/2006/relationships" name="1_matice_kriterii" sheetId="2" r:id="Rb9695606bb6c4afc"/>
    <x:sheet xmlns:r="http://schemas.openxmlformats.org/officeDocument/2006/relationships" name="2_vahy_kriterii" sheetId="3" r:id="Rd5bb99cc1bca42f6"/>
    <x:sheet xmlns:r="http://schemas.openxmlformats.org/officeDocument/2006/relationships" name="3_konzistence_krit" sheetId="4" r:id="Rf33aeed918d34519"/>
    <x:sheet xmlns:r="http://schemas.openxmlformats.org/officeDocument/2006/relationships" name="4_matice_alt_K1" sheetId="5" r:id="Rde8f5c292d524156"/>
    <x:sheet xmlns:r="http://schemas.openxmlformats.org/officeDocument/2006/relationships" name="5_matice_alt_K2" sheetId="6" r:id="Rc98e38fb89334cb0"/>
    <x:sheet xmlns:r="http://schemas.openxmlformats.org/officeDocument/2006/relationships" name="6_matice_alt_K3" sheetId="7" r:id="Rf6435940eb004e26"/>
    <x:sheet xmlns:r="http://schemas.openxmlformats.org/officeDocument/2006/relationships" name="7_lokalni_vahy" sheetId="8" r:id="Rb2de3d3506db4054"/>
    <x:sheet xmlns:r="http://schemas.openxmlformats.org/officeDocument/2006/relationships" name="8_globalni" sheetId="9" r:id="R87556af935e64b58"/>
    <x:sheet xmlns:r="http://schemas.openxmlformats.org/officeDocument/2006/relationships" name="9_souhrn" sheetId="10" r:id="R55881b76127e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"/>
    <x:numFmt numFmtId="202" formatCode="0.000000000"/>
  </x:numFmts>
  <x:fonts count="5">
    <x:font>
      <x:sz val="11"/>
      <x:name val="Carlito"/>
    </x:font>
    <x:font>
      <x:sz val="10"/>
      <x:color rgb="FF233047"/>
      <x:name val="Arial"/>
    </x:font>
    <x:font>
      <x:b/>
      <x:sz val="14"/>
      <x:color rgb="FF233047"/>
      <x:name val="Arial"/>
    </x:font>
    <x:font>
      <x:sz val="10"/>
      <x:color rgb="FF9A4F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84C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71757691c4944" /><Relationship Type="http://schemas.openxmlformats.org/officeDocument/2006/relationships/theme" Target="/xl/theme/theme1.xml" Id="R180f8c9bf1e14c85" /><Relationship Type="http://schemas.openxmlformats.org/officeDocument/2006/relationships/sharedStrings" Target="/xl/sharedStrings.xml" Id="Rb34eaa9239be41e0" /><Relationship Type="http://schemas.openxmlformats.org/officeDocument/2006/relationships/worksheet" Target="/xl/worksheets/sheet1.xml" Id="Rac3e9609ad954edd" /><Relationship Type="http://schemas.openxmlformats.org/officeDocument/2006/relationships/worksheet" Target="/xl/worksheets/sheet2.xml" Id="Rb9695606bb6c4afc" /><Relationship Type="http://schemas.openxmlformats.org/officeDocument/2006/relationships/worksheet" Target="/xl/worksheets/sheet3.xml" Id="Rd5bb99cc1bca42f6" /><Relationship Type="http://schemas.openxmlformats.org/officeDocument/2006/relationships/worksheet" Target="/xl/worksheets/sheet4.xml" Id="Rf33aeed918d34519" /><Relationship Type="http://schemas.openxmlformats.org/officeDocument/2006/relationships/worksheet" Target="/xl/worksheets/sheet5.xml" Id="Rde8f5c292d524156" /><Relationship Type="http://schemas.openxmlformats.org/officeDocument/2006/relationships/worksheet" Target="/xl/worksheets/sheet6.xml" Id="Rc98e38fb89334cb0" /><Relationship Type="http://schemas.openxmlformats.org/officeDocument/2006/relationships/worksheet" Target="/xl/worksheets/sheet7.xml" Id="Rf6435940eb004e26" /><Relationship Type="http://schemas.openxmlformats.org/officeDocument/2006/relationships/worksheet" Target="/xl/worksheets/sheet8.xml" Id="Rb2de3d3506db4054" /><Relationship Type="http://schemas.openxmlformats.org/officeDocument/2006/relationships/worksheet" Target="/xl/worksheets/sheet9.xml" Id="R87556af935e64b58" /><Relationship Type="http://schemas.openxmlformats.org/officeDocument/2006/relationships/worksheet" Target="/xl/worksheets/sheet10.xml" Id="R55881b76127e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0 zadani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Kontrolní příklad F/P/C a A/B/C z AHP_NAVOD_SAATY.md, oddíl 5.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Metoda: geometrické průměry; výpočty se nezaokrouhlují.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Žluté vstupy lze měnit; ostatní buňky obsahují vzorce.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9_souhrn: vypočtené hodnoty vedle neměnného etalonu Decimal.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Tolerance kontrolního srovnání 1e-9; osobní kontrola autora teprve následuje.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1 matice kriterii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F</x:v>
      </x:c>
      <x:c r="C5" s="6" t="str">
        <x:v>P</x:v>
      </x:c>
      <x:c r="D5" s="6" t="str">
        <x:v>C</x:v>
      </x:c>
      <x:c r="E5" s="1"/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F</x:v>
      </x:c>
      <x:c r="B6" s="8" t="n">
        <x:v>1</x:v>
      </x:c>
      <x:c r="C6" s="9" t="n">
        <x:v>3</x:v>
      </x:c>
      <x:c r="D6" s="9" t="n">
        <x:v>5</x:v>
      </x:c>
      <x:c r="E6" s="8"/>
      <x:c r="F6" s="8"/>
      <x:c r="G6" s="8"/>
      <x:c r="H6" s="8"/>
      <x:c r="I6" s="8"/>
      <x:c r="J6" s="8"/>
      <x:c r="K6" s="8"/>
      <x:c r="L6" s="8" t="n">
        <x:f>GEOMEAN(B6:D6)</x:f>
        <x:v>2.46621207433047</x:v>
      </x:c>
      <x:c r="M6" s="8" t="n">
        <x:f>L6/SUM($L$6:$L$8)</x:f>
        <x:v>0.6369855717447571</x:v>
      </x:c>
      <x:c r="N6" s="8" t="n">
        <x:f>B6*$M$6+C6*$M$7+D6*$M$8</x:f>
        <x:v>1.9354877242719817</x:v>
      </x:c>
      <x:c r="O6" s="8" t="n">
        <x:f>N6/M6</x:f>
        <x:v>3.0385110905581705</x:v>
      </x:c>
    </x:row>
    <x:row r="7" ht="23" customHeight="1">
      <x:c r="A7" s="1" t="str">
        <x:v>P</x:v>
      </x:c>
      <x:c r="B7" s="8" t="n">
        <x:f>1/C6</x:f>
        <x:v>0.3333333333333333</x:v>
      </x:c>
      <x:c r="C7" s="8" t="n">
        <x:v>1</x:v>
      </x:c>
      <x:c r="D7" s="9" t="n">
        <x:v>3</x:v>
      </x:c>
      <x:c r="E7" s="8"/>
      <x:c r="F7" s="8"/>
      <x:c r="G7" s="8"/>
      <x:c r="H7" s="8"/>
      <x:c r="I7" s="8"/>
      <x:c r="J7" s="8"/>
      <x:c r="K7" s="8"/>
      <x:c r="L7" s="8" t="n">
        <x:f>GEOMEAN(B7:D7)</x:f>
        <x:v>0.9999999999999999</x:v>
      </x:c>
      <x:c r="M7" s="8" t="n">
        <x:f>L7/SUM($L$6:$L$8)</x:f>
        <x:v>0.258284994374495</x:v>
      </x:c>
      <x:c r="N7" s="8" t="n">
        <x:f>B7*$M$6+C7*$M$7+D7*$M$8</x:f>
        <x:v>0.7848018199316577</x:v>
      </x:c>
      <x:c r="O7" s="8" t="n">
        <x:f>N7/M7</x:f>
        <x:v>3.0385110905581705</x:v>
      </x:c>
    </x:row>
    <x:row r="8" ht="23" customHeight="1">
      <x:c r="A8" s="1" t="str">
        <x:v>C</x:v>
      </x:c>
      <x:c r="B8" s="8" t="n">
        <x:f>1/D6</x:f>
        <x:v>0.2</x:v>
      </x:c>
      <x:c r="C8" s="8" t="n">
        <x:f>1/D7</x:f>
        <x:v>0.3333333333333333</x:v>
      </x:c>
      <x:c r="D8" s="8" t="n">
        <x:v>1</x:v>
      </x:c>
      <x:c r="E8" s="8"/>
      <x:c r="F8" s="8"/>
      <x:c r="G8" s="8"/>
      <x:c r="H8" s="8"/>
      <x:c r="I8" s="8"/>
      <x:c r="J8" s="8"/>
      <x:c r="K8" s="8"/>
      <x:c r="L8" s="8" t="n">
        <x:f>GEOMEAN(B8:D8)</x:f>
        <x:v>0.40548013303822666</x:v>
      </x:c>
      <x:c r="M8" s="8" t="n">
        <x:f>L8/SUM($L$6:$L$8)</x:f>
        <x:v>0.10472943388074787</x:v>
      </x:c>
      <x:c r="N8" s="8" t="n">
        <x:f>B8*$M$6+C8*$M$7+D8*$M$8</x:f>
        <x:v>0.3182215463545309</x:v>
      </x:c>
      <x:c r="O8" s="8" t="n">
        <x:f>N8/M8</x:f>
        <x:v>3.0385110905581696</x:v>
      </x:c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SUM(M6:M8)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AVERAGE(O6:O8)</x:f>
        <x:v>3.0385110905581705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MAX(0,(M18-3)/(3-1))</x:f>
        <x:v>0.01925554527908524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0.58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0.03319921599842283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0" priority="1">
      <x:formula>M21&gt;0.1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2 vahy kriterii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Kritérium</x:v>
      </x:c>
      <x:c r="B5" s="6" t="str">
        <x:v>GM</x:v>
      </x:c>
      <x:c r="C5" s="6" t="str">
        <x:v>Váha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F</x:v>
      </x:c>
      <x:c r="B6" s="11" t="n">
        <x:f>'1_matice_kriterii'!L6</x:f>
        <x:v>2.46621207433047</x:v>
      </x:c>
      <x:c r="C6" s="11" t="n">
        <x:f>'1_matice_kriterii'!M6</x:f>
        <x:v>0.6369855717447571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P</x:v>
      </x:c>
      <x:c r="B7" s="11" t="n">
        <x:f>'1_matice_kriterii'!L7</x:f>
        <x:v>0.9999999999999999</x:v>
      </x:c>
      <x:c r="C7" s="11" t="n">
        <x:f>'1_matice_kriterii'!M7</x:f>
        <x:v>0.258284994374495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C</x:v>
      </x:c>
      <x:c r="B8" s="11" t="n">
        <x:f>'1_matice_kriterii'!L8</x:f>
        <x:v>0.40548013303822666</x:v>
      </x:c>
      <x:c r="C8" s="11" t="n">
        <x:f>'1_matice_kriterii'!M8</x:f>
        <x:v>0.10472943388074787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3 konzistence krit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Součet vah</x:v>
      </x:c>
      <x:c r="B6" s="11" t="n">
        <x:f>'1_matice_kriterii'!M17</x:f>
        <x:v>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Odhad lambda</x:v>
      </x:c>
      <x:c r="B7" s="11" t="n">
        <x:f>'1_matice_kriterii'!M18</x:f>
        <x:v>3.0385110905581705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CI</x:v>
      </x:c>
      <x:c r="B8" s="11" t="n">
        <x:f>'1_matice_kriterii'!M19</x:f>
        <x:v>0.01925554527908524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 t="str">
        <x:v>RI</x:v>
      </x:c>
      <x:c r="B9" s="11" t="n">
        <x:f>'1_matice_kriterii'!M20</x:f>
        <x:v>0.58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CR</x:v>
      </x:c>
      <x:c r="B10" s="11" t="n">
        <x:f>'1_matice_kriterii'!M21</x:f>
        <x:v>0.03319921599842283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4 matice alt K1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A</x:v>
      </x:c>
      <x:c r="C5" s="6" t="str">
        <x:v>B</x:v>
      </x:c>
      <x:c r="D5" s="6" t="str">
        <x:v>C</x:v>
      </x:c>
      <x:c r="E5" s="1"/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A</x:v>
      </x:c>
      <x:c r="B6" s="8" t="n">
        <x:v>1</x:v>
      </x:c>
      <x:c r="C6" s="9" t="n">
        <x:v>2</x:v>
      </x:c>
      <x:c r="D6" s="9" t="n">
        <x:v>4</x:v>
      </x:c>
      <x:c r="E6" s="8"/>
      <x:c r="F6" s="8"/>
      <x:c r="G6" s="8"/>
      <x:c r="H6" s="8"/>
      <x:c r="I6" s="8"/>
      <x:c r="J6" s="8"/>
      <x:c r="K6" s="8"/>
      <x:c r="L6" s="8" t="n">
        <x:f>GEOMEAN(B6:D6)</x:f>
        <x:v>2</x:v>
      </x:c>
      <x:c r="M6" s="8" t="n">
        <x:f>L6/SUM($L$6:$L$8)</x:f>
        <x:v>0.5714285714285714</x:v>
      </x:c>
      <x:c r="N6" s="8" t="n">
        <x:f>B6*$M$6+C6*$M$7+D6*$M$8</x:f>
        <x:v>1.7142857142857142</x:v>
      </x:c>
      <x:c r="O6" s="8" t="n">
        <x:f>N6/M6</x:f>
        <x:v>3</x:v>
      </x:c>
    </x:row>
    <x:row r="7" ht="23" customHeight="1">
      <x:c r="A7" s="1" t="str">
        <x:v>B</x:v>
      </x:c>
      <x:c r="B7" s="8" t="n">
        <x:f>1/C6</x:f>
        <x:v>0.5</x:v>
      </x:c>
      <x:c r="C7" s="8" t="n">
        <x:v>1</x:v>
      </x:c>
      <x:c r="D7" s="9" t="n">
        <x:v>2</x:v>
      </x:c>
      <x:c r="E7" s="8"/>
      <x:c r="F7" s="8"/>
      <x:c r="G7" s="8"/>
      <x:c r="H7" s="8"/>
      <x:c r="I7" s="8"/>
      <x:c r="J7" s="8"/>
      <x:c r="K7" s="8"/>
      <x:c r="L7" s="8" t="n">
        <x:f>GEOMEAN(B7:D7)</x:f>
        <x:v>1</x:v>
      </x:c>
      <x:c r="M7" s="8" t="n">
        <x:f>L7/SUM($L$6:$L$8)</x:f>
        <x:v>0.2857142857142857</x:v>
      </x:c>
      <x:c r="N7" s="8" t="n">
        <x:f>B7*$M$6+C7*$M$7+D7*$M$8</x:f>
        <x:v>0.8571428571428571</x:v>
      </x:c>
      <x:c r="O7" s="8" t="n">
        <x:f>N7/M7</x:f>
        <x:v>3</x:v>
      </x:c>
    </x:row>
    <x:row r="8" ht="23" customHeight="1">
      <x:c r="A8" s="1" t="str">
        <x:v>C</x:v>
      </x:c>
      <x:c r="B8" s="8" t="n">
        <x:f>1/D6</x:f>
        <x:v>0.25</x:v>
      </x:c>
      <x:c r="C8" s="8" t="n">
        <x:f>1/D7</x:f>
        <x:v>0.5</x:v>
      </x:c>
      <x:c r="D8" s="8" t="n">
        <x:v>1</x:v>
      </x:c>
      <x:c r="E8" s="8"/>
      <x:c r="F8" s="8"/>
      <x:c r="G8" s="8"/>
      <x:c r="H8" s="8"/>
      <x:c r="I8" s="8"/>
      <x:c r="J8" s="8"/>
      <x:c r="K8" s="8"/>
      <x:c r="L8" s="8" t="n">
        <x:f>GEOMEAN(B8:D8)</x:f>
        <x:v>0.5</x:v>
      </x:c>
      <x:c r="M8" s="8" t="n">
        <x:f>L8/SUM($L$6:$L$8)</x:f>
        <x:v>0.14285714285714285</x:v>
      </x:c>
      <x:c r="N8" s="8" t="n">
        <x:f>B8*$M$6+C8*$M$7+D8*$M$8</x:f>
        <x:v>0.42857142857142855</x:v>
      </x:c>
      <x:c r="O8" s="8" t="n">
        <x:f>N8/M8</x:f>
        <x:v>3</x:v>
      </x:c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SUM(M6:M8)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AVERAGE(O6:O8)</x:f>
        <x:v>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MAX(0,(M18-3)/(3-1))</x:f>
        <x:v>0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0.58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1" priority="1">
      <x:formula>M21&gt;0.1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5 matice alt K2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A</x:v>
      </x:c>
      <x:c r="C5" s="6" t="str">
        <x:v>B</x:v>
      </x:c>
      <x:c r="D5" s="6" t="str">
        <x:v>C</x:v>
      </x:c>
      <x:c r="E5" s="1"/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A</x:v>
      </x:c>
      <x:c r="B6" s="8" t="n">
        <x:v>1</x:v>
      </x:c>
      <x:c r="C6" s="9" t="n">
        <x:v>0.5</x:v>
      </x:c>
      <x:c r="D6" s="9" t="n">
        <x:v>2</x:v>
      </x:c>
      <x:c r="E6" s="8"/>
      <x:c r="F6" s="8"/>
      <x:c r="G6" s="8"/>
      <x:c r="H6" s="8"/>
      <x:c r="I6" s="8"/>
      <x:c r="J6" s="8"/>
      <x:c r="K6" s="8"/>
      <x:c r="L6" s="8" t="n">
        <x:f>GEOMEAN(B6:D6)</x:f>
        <x:v>1</x:v>
      </x:c>
      <x:c r="M6" s="8" t="n">
        <x:f>L6/SUM($L$6:$L$8)</x:f>
        <x:v>0.2857142857142857</x:v>
      </x:c>
      <x:c r="N6" s="8" t="n">
        <x:f>B6*$M$6+C6*$M$7+D6*$M$8</x:f>
        <x:v>0.8571428571428571</x:v>
      </x:c>
      <x:c r="O6" s="8" t="n">
        <x:f>N6/M6</x:f>
        <x:v>3</x:v>
      </x:c>
    </x:row>
    <x:row r="7" ht="23" customHeight="1">
      <x:c r="A7" s="1" t="str">
        <x:v>B</x:v>
      </x:c>
      <x:c r="B7" s="8" t="n">
        <x:f>1/C6</x:f>
        <x:v>2</x:v>
      </x:c>
      <x:c r="C7" s="8" t="n">
        <x:v>1</x:v>
      </x:c>
      <x:c r="D7" s="9" t="n">
        <x:v>4</x:v>
      </x:c>
      <x:c r="E7" s="8"/>
      <x:c r="F7" s="8"/>
      <x:c r="G7" s="8"/>
      <x:c r="H7" s="8"/>
      <x:c r="I7" s="8"/>
      <x:c r="J7" s="8"/>
      <x:c r="K7" s="8"/>
      <x:c r="L7" s="8" t="n">
        <x:f>GEOMEAN(B7:D7)</x:f>
        <x:v>2</x:v>
      </x:c>
      <x:c r="M7" s="8" t="n">
        <x:f>L7/SUM($L$6:$L$8)</x:f>
        <x:v>0.5714285714285714</x:v>
      </x:c>
      <x:c r="N7" s="8" t="n">
        <x:f>B7*$M$6+C7*$M$7+D7*$M$8</x:f>
        <x:v>1.7142857142857142</x:v>
      </x:c>
      <x:c r="O7" s="8" t="n">
        <x:f>N7/M7</x:f>
        <x:v>3</x:v>
      </x:c>
    </x:row>
    <x:row r="8" ht="23" customHeight="1">
      <x:c r="A8" s="1" t="str">
        <x:v>C</x:v>
      </x:c>
      <x:c r="B8" s="8" t="n">
        <x:f>1/D6</x:f>
        <x:v>0.5</x:v>
      </x:c>
      <x:c r="C8" s="8" t="n">
        <x:f>1/D7</x:f>
        <x:v>0.25</x:v>
      </x:c>
      <x:c r="D8" s="8" t="n">
        <x:v>1</x:v>
      </x:c>
      <x:c r="E8" s="8"/>
      <x:c r="F8" s="8"/>
      <x:c r="G8" s="8"/>
      <x:c r="H8" s="8"/>
      <x:c r="I8" s="8"/>
      <x:c r="J8" s="8"/>
      <x:c r="K8" s="8"/>
      <x:c r="L8" s="8" t="n">
        <x:f>GEOMEAN(B8:D8)</x:f>
        <x:v>0.5</x:v>
      </x:c>
      <x:c r="M8" s="8" t="n">
        <x:f>L8/SUM($L$6:$L$8)</x:f>
        <x:v>0.14285714285714285</x:v>
      </x:c>
      <x:c r="N8" s="8" t="n">
        <x:f>B8*$M$6+C8*$M$7+D8*$M$8</x:f>
        <x:v>0.42857142857142855</x:v>
      </x:c>
      <x:c r="O8" s="8" t="n">
        <x:f>N8/M8</x:f>
        <x:v>3</x:v>
      </x:c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SUM(M6:M8)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AVERAGE(O6:O8)</x:f>
        <x:v>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MAX(0,(M18-3)/(3-1))</x:f>
        <x:v>0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0.58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2" priority="1">
      <x:formula>M21&gt;0.1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6 matice alt K3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Prvek</x:v>
      </x:c>
      <x:c r="B5" s="6" t="str">
        <x:v>A</x:v>
      </x:c>
      <x:c r="C5" s="6" t="str">
        <x:v>B</x:v>
      </x:c>
      <x:c r="D5" s="6" t="str">
        <x:v>C</x:v>
      </x:c>
      <x:c r="E5" s="1"/>
      <x:c r="F5" s="1"/>
      <x:c r="G5" s="1"/>
      <x:c r="H5" s="1"/>
      <x:c r="I5" s="1"/>
      <x:c r="J5" s="1"/>
      <x:c r="K5" s="1"/>
      <x:c r="L5" s="6" t="str">
        <x:v>GM</x:v>
      </x:c>
      <x:c r="M5" s="6" t="str">
        <x:v>Váha</x:v>
      </x:c>
      <x:c r="N5" s="6" t="str">
        <x:v>Aw</x:v>
      </x:c>
      <x:c r="O5" s="6" t="str">
        <x:v>Aw / w</x:v>
      </x:c>
    </x:row>
    <x:row r="6" ht="23" customHeight="1">
      <x:c r="A6" s="1" t="str">
        <x:v>A</x:v>
      </x:c>
      <x:c r="B6" s="8" t="n">
        <x:v>1</x:v>
      </x:c>
      <x:c r="C6" s="9" t="n">
        <x:v>2</x:v>
      </x:c>
      <x:c r="D6" s="9" t="n">
        <x:v>0.3333333333333333</x:v>
      </x:c>
      <x:c r="E6" s="8"/>
      <x:c r="F6" s="8"/>
      <x:c r="G6" s="8"/>
      <x:c r="H6" s="8"/>
      <x:c r="I6" s="8"/>
      <x:c r="J6" s="8"/>
      <x:c r="K6" s="8"/>
      <x:c r="L6" s="8" t="n">
        <x:f>GEOMEAN(B6:D6)</x:f>
        <x:v>0.8735804647362988</x:v>
      </x:c>
      <x:c r="M6" s="8" t="n">
        <x:f>L6/SUM($L$6:$L$8)</x:f>
        <x:v>0.2222222222222222</x:v>
      </x:c>
      <x:c r="N6" s="8" t="n">
        <x:f>B6*$M$6+C6*$M$7+D6*$M$8</x:f>
        <x:v>0.6666666666666666</x:v>
      </x:c>
      <x:c r="O6" s="8" t="n">
        <x:f>N6/M6</x:f>
        <x:v>3</x:v>
      </x:c>
    </x:row>
    <x:row r="7" ht="23" customHeight="1">
      <x:c r="A7" s="1" t="str">
        <x:v>B</x:v>
      </x:c>
      <x:c r="B7" s="8" t="n">
        <x:f>1/C6</x:f>
        <x:v>0.5</x:v>
      </x:c>
      <x:c r="C7" s="8" t="n">
        <x:v>1</x:v>
      </x:c>
      <x:c r="D7" s="9" t="n">
        <x:v>0.16666666666666666</x:v>
      </x:c>
      <x:c r="E7" s="8"/>
      <x:c r="F7" s="8"/>
      <x:c r="G7" s="8"/>
      <x:c r="H7" s="8"/>
      <x:c r="I7" s="8"/>
      <x:c r="J7" s="8"/>
      <x:c r="K7" s="8"/>
      <x:c r="L7" s="8" t="n">
        <x:f>GEOMEAN(B7:D7)</x:f>
        <x:v>0.4367902323681494</x:v>
      </x:c>
      <x:c r="M7" s="8" t="n">
        <x:f>L7/SUM($L$6:$L$8)</x:f>
        <x:v>0.1111111111111111</x:v>
      </x:c>
      <x:c r="N7" s="8" t="n">
        <x:f>B7*$M$6+C7*$M$7+D7*$M$8</x:f>
        <x:v>0.3333333333333333</x:v>
      </x:c>
      <x:c r="O7" s="8" t="n">
        <x:f>N7/M7</x:f>
        <x:v>3</x:v>
      </x:c>
    </x:row>
    <x:row r="8" ht="23" customHeight="1">
      <x:c r="A8" s="1" t="str">
        <x:v>C</x:v>
      </x:c>
      <x:c r="B8" s="8" t="n">
        <x:f>1/D6</x:f>
        <x:v>3</x:v>
      </x:c>
      <x:c r="C8" s="8" t="n">
        <x:f>1/D7</x:f>
        <x:v>6</x:v>
      </x:c>
      <x:c r="D8" s="8" t="n">
        <x:v>1</x:v>
      </x:c>
      <x:c r="E8" s="8"/>
      <x:c r="F8" s="8"/>
      <x:c r="G8" s="8"/>
      <x:c r="H8" s="8"/>
      <x:c r="I8" s="8"/>
      <x:c r="J8" s="8"/>
      <x:c r="K8" s="8"/>
      <x:c r="L8" s="8" t="n">
        <x:f>GEOMEAN(B8:D8)</x:f>
        <x:v>2.6207413942088964</x:v>
      </x:c>
      <x:c r="M8" s="8" t="n">
        <x:f>L8/SUM($L$6:$L$8)</x:f>
        <x:v>0.6666666666666666</x:v>
      </x:c>
      <x:c r="N8" s="8" t="n">
        <x:f>B8*$M$6+C8*$M$7+D8*$M$8</x:f>
        <x:v>2</x:v>
      </x:c>
      <x:c r="O8" s="8" t="n">
        <x:f>N8/M8</x:f>
        <x:v>3</x:v>
      </x:c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Žluté buňky: upravujte pouze horní trojúhelník (1/9 … 9).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 t="str">
        <x:v>Součet vah</x:v>
      </x:c>
      <x:c r="M17" s="10" t="n">
        <x:f>SUM(M6:M8)</x:f>
        <x:v>1</x:v>
      </x:c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 t="str">
        <x:v>Odhad lambda</x:v>
      </x:c>
      <x:c r="M18" s="10" t="n">
        <x:f>AVERAGE(O6:O8)</x:f>
        <x:v>3</x:v>
      </x:c>
      <x:c r="N18" s="1"/>
      <x:c r="O18" s="1"/>
    </x:row>
    <x:row r="19" ht="23" customHeight="1">
      <x:c r="A19" s="1" t="str">
        <x:v>Spodní trojúhelník a výsledky obsahují vzorce.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 t="str">
        <x:v>CI</x:v>
      </x:c>
      <x:c r="M19" s="10" t="n">
        <x:f>MAX(0,(M18-3)/(3-1))</x:f>
        <x:v>0</x:v>
      </x:c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 t="str">
        <x:v>RI</x:v>
      </x:c>
      <x:c r="M20" s="10" t="n">
        <x:v>0.58</x:v>
      </x:c>
      <x:c r="N20" s="1"/>
      <x:c r="O20" s="1"/>
    </x:row>
    <x:row r="21" ht="23" customHeight="1">
      <x:c r="A21" s="1" t="str">
        <x:v>Zdroj: AHP_SPECIFIKACE.md; RI dle Saaty (1990).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 t="str">
        <x:v>CR</x:v>
      </x:c>
      <x:c r="M21" s="10" t="n">
        <x:f>M19/M20</x:f>
        <x:v>0</x:v>
      </x:c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 t="str">
        <x:v>Konzistence</x:v>
      </x:c>
      <x:c r="M22" s="1" t="str">
        <x:f>IF(M21&lt;=0.1,"Přijatelná","Přehodnotit páry")</x:f>
        <x:v>Přijatelná</x:v>
      </x:c>
      <x:c r="N22" s="1"/>
      <x:c r="O22" s="1"/>
    </x:row>
    <x:row r="23" ht="23" customHeight="1">
      <x:c r="A23" s="1" t="str">
        <x:v>CR je kontrola soudržnosti, nikoli pravdivosti dat.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conditionalFormatting sqref="M21:M21">
    <x:cfRule type="expression" dxfId="3" priority="1">
      <x:formula>M21&gt;0.1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7 lokalni vahy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Alternativa</x:v>
      </x:c>
      <x:c r="B5" s="6" t="str">
        <x:v>F</x:v>
      </x:c>
      <x:c r="C5" s="6" t="str">
        <x:v>P</x:v>
      </x:c>
      <x:c r="D5" s="6" t="str">
        <x:v>C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A</x:v>
      </x:c>
      <x:c r="B6" s="11" t="n">
        <x:f>'4_matice_alt_K1'!M6</x:f>
        <x:v>0.5714285714285714</x:v>
      </x:c>
      <x:c r="C6" s="11" t="n">
        <x:f>'5_matice_alt_K2'!M6</x:f>
        <x:v>0.2857142857142857</x:v>
      </x:c>
      <x:c r="D6" s="11" t="n">
        <x:f>'6_matice_alt_K3'!M6</x:f>
        <x:v>0.2222222222222222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B</x:v>
      </x:c>
      <x:c r="B7" s="11" t="n">
        <x:f>'4_matice_alt_K1'!M7</x:f>
        <x:v>0.2857142857142857</x:v>
      </x:c>
      <x:c r="C7" s="11" t="n">
        <x:f>'5_matice_alt_K2'!M7</x:f>
        <x:v>0.5714285714285714</x:v>
      </x:c>
      <x:c r="D7" s="11" t="n">
        <x:f>'6_matice_alt_K3'!M7</x:f>
        <x:v>0.1111111111111111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C</x:v>
      </x:c>
      <x:c r="B8" s="11" t="n">
        <x:f>'4_matice_alt_K1'!M8</x:f>
        <x:v>0.14285714285714285</x:v>
      </x:c>
      <x:c r="C8" s="11" t="n">
        <x:f>'5_matice_alt_K2'!M8</x:f>
        <x:v>0.14285714285714285</x:v>
      </x:c>
      <x:c r="D8" s="11" t="n">
        <x:f>'6_matice_alt_K3'!M8</x:f>
        <x:v>0.6666666666666666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8 globalni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Alternativa</x:v>
      </x:c>
      <x:c r="B5" s="6" t="str">
        <x:v>Priorita</x:v>
      </x:c>
      <x:c r="C5" s="6" t="str">
        <x:v>Pořadí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A</x:v>
      </x:c>
      <x:c r="B6" s="11" t="n">
        <x:f>'2_vahy_kriterii'!C6*'7_lokalni_vahy'!B6+'2_vahy_kriterii'!C7*'7_lokalni_vahy'!C6+'2_vahy_kriterii'!C8*'7_lokalni_vahy'!D6</x:f>
        <x:v>0.4610606754902005</x:v>
      </x:c>
      <x:c r="C6" s="1" t="n">
        <x:f>RANK(B6,$B$6:$B$8,0)</x:f>
        <x:v>1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B</x:v>
      </x:c>
      <x:c r="B7" s="11" t="n">
        <x:f>'2_vahy_kriterii'!C6*'7_lokalni_vahy'!B7+'2_vahy_kriterii'!C7*'7_lokalni_vahy'!C7+'2_vahy_kriterii'!C8*'7_lokalni_vahy'!D7</x:f>
        <x:v>0.34122390676274095</x:v>
      </x:c>
      <x:c r="C7" s="1" t="n">
        <x:f>RANK(B7,$B$6:$B$8,0)</x:f>
        <x:v>2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C</x:v>
      </x:c>
      <x:c r="B8" s="11" t="n">
        <x:f>'2_vahy_kriterii'!C6*'7_lokalni_vahy'!B8+'2_vahy_kriterii'!C7*'7_lokalni_vahy'!C8+'2_vahy_kriterii'!C8*'7_lokalni_vahy'!D8</x:f>
        <x:v>0.19771541774705836</x:v>
      </x:c>
      <x:c r="C8" s="1" t="n">
        <x:f>RANK(B8,$B$6:$B$8,0)</x:f>
        <x:v>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9 souhrn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 t="str">
        <x:v>SYNTETICKÁ / KONTROLNÍ DATA – nejde o provedené testy nástrojů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6" t="str">
        <x:v>Výsledek</x:v>
      </x:c>
      <x:c r="B5" s="6" t="str">
        <x:v>Vzorec</x:v>
      </x:c>
      <x:c r="C5" s="6" t="str">
        <x:v>Etalon Decimal</x:v>
      </x:c>
      <x:c r="D5" s="6" t="str">
        <x:v>Absolutní rozdíl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Váha F</x:v>
      </x:c>
      <x:c r="B6" s="11" t="n">
        <x:f>'2_vahy_kriterii'!C6</x:f>
        <x:v>0.6369855717447571</x:v>
      </x:c>
      <x:c r="C6" s="11" t="n">
        <x:v>0.6369855717447571</x:v>
      </x:c>
      <x:c r="D6" s="11" t="n">
        <x:f>ABS(B6-C6)</x:f>
        <x:v>0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Váha P</x:v>
      </x:c>
      <x:c r="B7" s="11" t="n">
        <x:f>'2_vahy_kriterii'!C7</x:f>
        <x:v>0.258284994374495</x:v>
      </x:c>
      <x:c r="C7" s="11" t="n">
        <x:v>0.258284994374495</x:v>
      </x:c>
      <x:c r="D7" s="11" t="n">
        <x:f>ABS(B7-C7)</x:f>
        <x:v>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Váha C</x:v>
      </x:c>
      <x:c r="B8" s="11" t="n">
        <x:f>'2_vahy_kriterii'!C8</x:f>
        <x:v>0.10472943388074787</x:v>
      </x:c>
      <x:c r="C8" s="11" t="n">
        <x:v>0.10472943388074786</x:v>
      </x:c>
      <x:c r="D8" s="11" t="n">
        <x:f>ABS(B8-C8)</x:f>
        <x:v>1.3877787807814457e-17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 t="str">
        <x:v>CR kritérií</x:v>
      </x:c>
      <x:c r="B9" s="11" t="n">
        <x:f>'3_konzistence_krit'!B10</x:f>
        <x:v>0.03319921599842283</x:v>
      </x:c>
      <x:c r="C9" s="11" t="n">
        <x:v>0.033199215998422425</x:v>
      </x:c>
      <x:c r="D9" s="11" t="n">
        <x:f>ABS(B9-C9)</x:f>
        <x:v>4.0245584642661925e-16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Priorita A</x:v>
      </x:c>
      <x:c r="B10" s="11" t="n">
        <x:f>'8_globalni'!B6</x:f>
        <x:v>0.4610606754902005</x:v>
      </x:c>
      <x:c r="C10" s="11" t="n">
        <x:v>0.4610606754902005</x:v>
      </x:c>
      <x:c r="D10" s="11" t="n">
        <x:f>ABS(B10-C10)</x:f>
        <x:v>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 t="str">
        <x:v>Priorita B</x:v>
      </x:c>
      <x:c r="B11" s="11" t="n">
        <x:f>'8_globalni'!B7</x:f>
        <x:v>0.34122390676274095</x:v>
      </x:c>
      <x:c r="C11" s="11" t="n">
        <x:v>0.34122390676274095</x:v>
      </x:c>
      <x:c r="D11" s="11" t="n">
        <x:f>ABS(B11-C11)</x:f>
        <x:v>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Priorita C</x:v>
      </x:c>
      <x:c r="B12" s="11" t="n">
        <x:f>'8_globalni'!B8</x:f>
        <x:v>0.19771541774705836</x:v>
      </x:c>
      <x:c r="C12" s="11" t="n">
        <x:v>0.19771541774705836</x:v>
      </x:c>
      <x:c r="D12" s="11" t="n">
        <x:f>ABS(B12-C12)</x:f>
        <x:v>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</x:sheetData>
  <x:pageMargins left="0.7" right="0.7" top="0.75" bottom="0.75" header="0.3" footer="0.3"/>
</x:worksheet>
</file>