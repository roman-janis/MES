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9338532f1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hrn" sheetId="1" r:id="R8d0f82796a6243dc"/>
    <x:sheet xmlns:r="http://schemas.openxmlformats.org/officeDocument/2006/relationships" name="Citlivost" sheetId="2" r:id="Re4cd9260d98a4105"/>
    <x:sheet xmlns:r="http://schemas.openxmlformats.org/officeDocument/2006/relationships" name="Kriteria" sheetId="3" r:id="R63863bbad06d4b4c"/>
    <x:sheet xmlns:r="http://schemas.openxmlformats.org/officeDocument/2006/relationships" name="K1" sheetId="4" r:id="Ra513fb47e9594b27"/>
    <x:sheet xmlns:r="http://schemas.openxmlformats.org/officeDocument/2006/relationships" name="K2" sheetId="5" r:id="R429b2d2ae8bb4f7d"/>
    <x:sheet xmlns:r="http://schemas.openxmlformats.org/officeDocument/2006/relationships" name="K3" sheetId="6" r:id="R9537bb0960154fc2"/>
    <x:sheet xmlns:r="http://schemas.openxmlformats.org/officeDocument/2006/relationships" name="K4" sheetId="7" r:id="Rd201dc9177b0415b"/>
    <x:sheet xmlns:r="http://schemas.openxmlformats.org/officeDocument/2006/relationships" name="K5" sheetId="8" r:id="Rfb2130cb03f742c2"/>
    <x:sheet xmlns:r="http://schemas.openxmlformats.org/officeDocument/2006/relationships" name="K6" sheetId="9" r:id="R8650ea982b554f43"/>
    <x:sheet xmlns:r="http://schemas.openxmlformats.org/officeDocument/2006/relationships" name="K7" sheetId="10" r:id="R83721509a9d34a8d"/>
    <x:sheet xmlns:r="http://schemas.openxmlformats.org/officeDocument/2006/relationships" name="K8" sheetId="11" r:id="Rb894bd811a76494e"/>
    <x:sheet xmlns:r="http://schemas.openxmlformats.org/officeDocument/2006/relationships" name="Testy" sheetId="12" r:id="R65cd2776335f44ed"/>
    <x:sheet xmlns:r="http://schemas.openxmlformats.org/officeDocument/2006/relationships" name="Pokyny" sheetId="13" r:id="R9cda436f2cc8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5">
    <x:font>
      <x:sz val="11"/>
      <x:name val="Carlito"/>
    </x:font>
    <x:font>
      <x:sz val="10"/>
      <x:color rgb="FF233047"/>
      <x:name val="Arial"/>
    </x:font>
    <x:font>
      <x:b/>
      <x:sz val="14"/>
      <x:color rgb="FF233047"/>
      <x:name val="Arial"/>
    </x:font>
    <x:font>
      <x:sz val="10"/>
      <x:color rgb="FF9A4F0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84C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036ffb56e4b77" /><Relationship Type="http://schemas.openxmlformats.org/officeDocument/2006/relationships/theme" Target="/xl/theme/theme1.xml" Id="Rf936966cd39c446a" /><Relationship Type="http://schemas.openxmlformats.org/officeDocument/2006/relationships/sharedStrings" Target="/xl/sharedStrings.xml" Id="Raca1220d5ddb46d8" /><Relationship Type="http://schemas.openxmlformats.org/officeDocument/2006/relationships/worksheet" Target="/xl/worksheets/sheet1.xml" Id="R8d0f82796a6243dc" /><Relationship Type="http://schemas.openxmlformats.org/officeDocument/2006/relationships/worksheet" Target="/xl/worksheets/sheet2.xml" Id="Re4cd9260d98a4105" /><Relationship Type="http://schemas.openxmlformats.org/officeDocument/2006/relationships/worksheet" Target="/xl/worksheets/sheet3.xml" Id="R63863bbad06d4b4c" /><Relationship Type="http://schemas.openxmlformats.org/officeDocument/2006/relationships/worksheet" Target="/xl/worksheets/sheet4.xml" Id="Ra513fb47e9594b27" /><Relationship Type="http://schemas.openxmlformats.org/officeDocument/2006/relationships/worksheet" Target="/xl/worksheets/sheet5.xml" Id="R429b2d2ae8bb4f7d" /><Relationship Type="http://schemas.openxmlformats.org/officeDocument/2006/relationships/worksheet" Target="/xl/worksheets/sheet6.xml" Id="R9537bb0960154fc2" /><Relationship Type="http://schemas.openxmlformats.org/officeDocument/2006/relationships/worksheet" Target="/xl/worksheets/sheet7.xml" Id="Rd201dc9177b0415b" /><Relationship Type="http://schemas.openxmlformats.org/officeDocument/2006/relationships/worksheet" Target="/xl/worksheets/sheet8.xml" Id="Rfb2130cb03f742c2" /><Relationship Type="http://schemas.openxmlformats.org/officeDocument/2006/relationships/worksheet" Target="/xl/worksheets/sheet9.xml" Id="R8650ea982b554f43" /><Relationship Type="http://schemas.openxmlformats.org/officeDocument/2006/relationships/worksheet" Target="/xl/worksheets/sheet10.xml" Id="R83721509a9d34a8d" /><Relationship Type="http://schemas.openxmlformats.org/officeDocument/2006/relationships/worksheet" Target="/xl/worksheets/sheet11.xml" Id="Rb894bd811a76494e" /><Relationship Type="http://schemas.openxmlformats.org/officeDocument/2006/relationships/worksheet" Target="/xl/worksheets/sheet12.xml" Id="R65cd2776335f44ed" /><Relationship Type="http://schemas.openxmlformats.org/officeDocument/2006/relationships/worksheet" Target="/xl/worksheets/sheet13.xml" Id="R9cda436f2cc8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384C"/>
  </x:sheetPr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Cykloservis | výsledky DEMO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Nástroj</x:v>
      </x:c>
      <x:c r="B5" s="6" t="str">
        <x:v>Priorita</x:v>
      </x:c>
      <x:c r="C5" s="6" t="str">
        <x:v>Pořadí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Oracle SQL Developer Data Modeler</x:v>
      </x:c>
      <x:c r="B6" s="8" t="n">
        <x:f>'Kriteria'!M6*'K1'!M6+'Kriteria'!M7*'K2'!M6+'Kriteria'!M8*'K3'!M6+'Kriteria'!M9*'K4'!M6+'Kriteria'!M10*'K5'!M6+'Kriteria'!M11*'K6'!M6+'Kriteria'!M12*'K7'!M6+'Kriteria'!M13*'K8'!M6</x:f>
        <x:v>0.22420010436102406</x:v>
      </x:c>
      <x:c r="C6" s="1" t="n">
        <x:f>RANK(B6,$B$6:$B$9,0)</x:f>
        <x:v>3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DBeaver Community Edition</x:v>
      </x:c>
      <x:c r="B7" s="8" t="n">
        <x:f>'Kriteria'!M6*'K1'!M7+'Kriteria'!M7*'K2'!M7+'Kriteria'!M8*'K3'!M7+'Kriteria'!M9*'K4'!M7+'Kriteria'!M10*'K5'!M7+'Kriteria'!M11*'K6'!M7+'Kriteria'!M12*'K7'!M7+'Kriteria'!M13*'K8'!M7</x:f>
        <x:v>0.24109681775410186</x:v>
      </x:c>
      <x:c r="C7" s="1" t="n">
        <x:f>RANK(B7,$B$6:$B$9,0)</x:f>
        <x:v>2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MySQL Workbench Community Edition</x:v>
      </x:c>
      <x:c r="B8" s="8" t="n">
        <x:f>'Kriteria'!M6*'K1'!M8+'Kriteria'!M7*'K2'!M8+'Kriteria'!M8*'K3'!M8+'Kriteria'!M9*'K4'!M8+'Kriteria'!M10*'K5'!M8+'Kriteria'!M11*'K6'!M8+'Kriteria'!M12*'K7'!M8+'Kriteria'!M13*'K8'!M8</x:f>
        <x:v>0.1930862597906438</x:v>
      </x:c>
      <x:c r="C8" s="1" t="n">
        <x:f>RANK(B8,$B$6:$B$9,0)</x:f>
        <x:v>4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 t="str">
        <x:v>pgModeler</x:v>
      </x:c>
      <x:c r="B9" s="8" t="n">
        <x:f>'Kriteria'!M6*'K1'!M9+'Kriteria'!M7*'K2'!M9+'Kriteria'!M8*'K3'!M9+'Kriteria'!M9*'K4'!M9+'Kriteria'!M10*'K5'!M9+'Kriteria'!M11*'K6'!M9+'Kriteria'!M12*'K7'!M9+'Kriteria'!M13*'K8'!M9</x:f>
        <x:v>0.34161681809423033</x:v>
      </x:c>
      <x:c r="C9" s="1" t="n">
        <x:f>RANK(B9,$B$6:$B$9,0)</x:f>
        <x:v>1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30" customHeight="1">
      <x:c r="A12" s="6" t="str">
        <x:v>Kritérium</x:v>
      </x:c>
      <x:c r="B12" s="6" t="str">
        <x:v>Váha</x:v>
      </x:c>
      <x:c r="C12" s="6" t="str">
        <x:v>CR alternativ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 t="str">
        <x:v>K1 Funkcionalita modelování</x:v>
      </x:c>
      <x:c r="B13" s="8" t="n">
        <x:f>'Kriteria'!M6</x:f>
        <x:v>0.19576957115137797</x:v>
      </x:c>
      <x:c r="C13" s="8" t="n">
        <x:f>'K1'!M21</x:f>
        <x:v>0.007627513477776028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 t="str">
        <x:v>K2 Použitelnost</x:v>
      </x:c>
      <x:c r="B14" s="8" t="n">
        <x:f>'Kriteria'!M7</x:f>
        <x:v>0.10146880270346234</x:v>
      </x:c>
      <x:c r="C14" s="8" t="n">
        <x:f>'K2'!M21</x:f>
        <x:v>0.003835657950578974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 t="str">
        <x:v>K3 Kompatibilita s DBMS</x:v>
      </x:c>
      <x:c r="B15" s="8" t="n">
        <x:f>'Kriteria'!M8</x:f>
        <x:v>0.19576957115137797</x:v>
      </x:c>
      <x:c r="C15" s="8" t="n">
        <x:f>'K3'!M21</x:f>
        <x:v>0.016922921943863346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 t="str">
        <x:v>K4 Forward engineering</x:v>
      </x:c>
      <x:c r="B16" s="8" t="n">
        <x:f>'Kriteria'!M9</x:f>
        <x:v>0.0442244441845563</x:v>
      </x:c>
      <x:c r="C16" s="8" t="n">
        <x:f>'K4'!M21</x:f>
        <x:v>0.016922921943863346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K5 Reverse engineering</x:v>
      </x:c>
      <x:c r="B17" s="8" t="n">
        <x:f>'Kriteria'!M10</x:f>
        <x:v>0.09304730233821205</x:v>
      </x:c>
      <x:c r="C17" s="8" t="n">
        <x:f>'K5'!M21</x:f>
        <x:v>0.02238282079494301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 t="str">
        <x:v>K6 Dokumentace a komunita</x:v>
      </x:c>
      <x:c r="B18" s="8" t="n">
        <x:f>'Kriteria'!M11</x:f>
        <x:v>0.19576957115137797</x:v>
      </x:c>
      <x:c r="C18" s="8" t="n">
        <x:f>'K6'!M21</x:f>
        <x:v>0.01692292194386302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 t="str">
        <x:v>K7 Import a export modelu</x:v>
      </x:c>
      <x:c r="B19" s="8" t="n">
        <x:f>'Kriteria'!M12</x:f>
        <x:v>0.10674411558056951</x:v>
      </x:c>
      <x:c r="C19" s="8" t="n">
        <x:f>'K7'!M21</x:f>
        <x:v>0.02238282079494301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 t="str">
        <x:v>K8 Náklady a licence</x:v>
      </x:c>
      <x:c r="B20" s="8" t="n">
        <x:f>'Kriteria'!M13</x:f>
        <x:v>0.06720662173906584</x:v>
      </x:c>
      <x:c r="C20" s="8" t="n">
        <x:f>'K8'!M21</x:f>
        <x:v>0.04493346057764549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 t="str">
        <x:v>CR matice kritérií</x:v>
      </x:c>
      <x:c r="B23" s="8" t="n">
        <x:f>'Kriteria'!M21</x:f>
        <x:v>0.006092995784323122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 t="str">
        <x:v>Pořadí platí výhradně pro náhodné demo vstupy.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Citlivost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Kritérium</x:v>
      </x:c>
      <x:c r="B5" s="6" t="str">
        <x:v>Základ</x:v>
      </x:c>
      <x:c r="C5" s="6" t="str">
        <x:v>K8 ×2</x:v>
      </x:c>
      <x:c r="D5" s="6" t="str">
        <x:v>K1 ×2</x:v>
      </x:c>
      <x:c r="E5" s="6" t="str">
        <x:v>K3 ×2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K1</x:v>
      </x:c>
      <x:c r="B6" s="8" t="n">
        <x:f>'Kriteria'!M6</x:f>
        <x:v>0.19576957115137797</x:v>
      </x:c>
      <x:c r="C6" s="8" t="n">
        <x:f>$B6*1/(1+$B$13)</x:f>
        <x:v>0.18344111361711923</x:v>
      </x:c>
      <x:c r="D6" s="8" t="n">
        <x:f>$B6*2/(1+$B$6)</x:f>
        <x:v>0.3274369508547974</x:v>
      </x:c>
      <x:c r="E6" s="8" t="n">
        <x:f>$B6*1/(1+$B$8)</x:f>
        <x:v>0.1637184754273987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K2</x:v>
      </x:c>
      <x:c r="B7" s="8" t="n">
        <x:f>'Kriteria'!M7</x:f>
        <x:v>0.10146880270346234</x:v>
      </x:c>
      <x:c r="C7" s="8" t="n">
        <x:f>$B7*1/(1+$B$13)</x:f>
        <x:v>0.09507887285979721</x:v>
      </x:c>
      <x:c r="D7" s="8" t="n">
        <x:f>$B7*1/(1+$B$6)</x:f>
        <x:v>0.08485648502140797</x:v>
      </x:c>
      <x:c r="E7" s="8" t="n">
        <x:f>$B7*1/(1+$B$8)</x:f>
        <x:v>0.08485648502140797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K3</x:v>
      </x:c>
      <x:c r="B8" s="8" t="n">
        <x:f>'Kriteria'!M8</x:f>
        <x:v>0.19576957115137797</x:v>
      </x:c>
      <x:c r="C8" s="8" t="n">
        <x:f>$B8*1/(1+$B$13)</x:f>
        <x:v>0.18344111361711923</x:v>
      </x:c>
      <x:c r="D8" s="8" t="n">
        <x:f>$B8*1/(1+$B$6)</x:f>
        <x:v>0.1637184754273987</x:v>
      </x:c>
      <x:c r="E8" s="8" t="n">
        <x:f>$B8*2/(1+$B$8)</x:f>
        <x:v>0.3274369508547974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 t="str">
        <x:v>K4</x:v>
      </x:c>
      <x:c r="B9" s="8" t="n">
        <x:f>'Kriteria'!M9</x:f>
        <x:v>0.0442244441845563</x:v>
      </x:c>
      <x:c r="C9" s="8" t="n">
        <x:f>$B9*1/(1+$B$13)</x:f>
        <x:v>0.04143943945221253</x:v>
      </x:c>
      <x:c r="D9" s="8" t="n">
        <x:f>$B9*1/(1+$B$6)</x:f>
        <x:v>0.03698408560603665</x:v>
      </x:c>
      <x:c r="E9" s="8" t="n">
        <x:f>$B9*1/(1+$B$8)</x:f>
        <x:v>0.03698408560603665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 t="str">
        <x:v>K5</x:v>
      </x:c>
      <x:c r="B10" s="8" t="n">
        <x:f>'Kriteria'!M10</x:f>
        <x:v>0.09304730233821205</x:v>
      </x:c>
      <x:c r="C10" s="8" t="n">
        <x:f>$B10*1/(1+$B$13)</x:f>
        <x:v>0.08718771083577694</x:v>
      </x:c>
      <x:c r="D10" s="8" t="n">
        <x:f>$B10*1/(1+$B$6)</x:f>
        <x:v>0.07781373985676773</x:v>
      </x:c>
      <x:c r="E10" s="8" t="n">
        <x:f>$B10*1/(1+$B$8)</x:f>
        <x:v>0.07781373985676773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 t="str">
        <x:v>K6</x:v>
      </x:c>
      <x:c r="B11" s="8" t="n">
        <x:f>'Kriteria'!M11</x:f>
        <x:v>0.19576957115137797</x:v>
      </x:c>
      <x:c r="C11" s="8" t="n">
        <x:f>$B11*1/(1+$B$13)</x:f>
        <x:v>0.18344111361711923</x:v>
      </x:c>
      <x:c r="D11" s="8" t="n">
        <x:f>$B11*1/(1+$B$6)</x:f>
        <x:v>0.1637184754273987</x:v>
      </x:c>
      <x:c r="E11" s="8" t="n">
        <x:f>$B11*1/(1+$B$8)</x:f>
        <x:v>0.1637184754273987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 t="str">
        <x:v>K7</x:v>
      </x:c>
      <x:c r="B12" s="8" t="n">
        <x:f>'Kriteria'!M12</x:f>
        <x:v>0.10674411558056951</x:v>
      </x:c>
      <x:c r="C12" s="8" t="n">
        <x:f>$B12*1/(1+$B$13)</x:f>
        <x:v>0.1000219764440973</x:v>
      </x:c>
      <x:c r="D12" s="8" t="n">
        <x:f>$B12*1/(1+$B$6)</x:f>
        <x:v>0.08926813171687263</x:v>
      </x:c>
      <x:c r="E12" s="8" t="n">
        <x:f>$B12*1/(1+$B$8)</x:f>
        <x:v>0.08926813171687263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 t="str">
        <x:v>K8</x:v>
      </x:c>
      <x:c r="B13" s="8" t="n">
        <x:f>'Kriteria'!M13</x:f>
        <x:v>0.06720662173906584</x:v>
      </x:c>
      <x:c r="C13" s="8" t="n">
        <x:f>$B13*2/(1+$B$13)</x:f>
        <x:v>0.12594865955675824</x:v>
      </x:c>
      <x:c r="D13" s="8" t="n">
        <x:f>$B13*1/(1+$B$6)</x:f>
        <x:v>0.05620365608932011</x:v>
      </x:c>
      <x:c r="E13" s="8" t="n">
        <x:f>$B13*1/(1+$B$8)</x:f>
        <x:v>0.05620365608932011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30" customHeight="1">
      <x:c r="A16" s="6" t="str">
        <x:v>Alternativa</x:v>
      </x:c>
      <x:c r="B16" s="6" t="str">
        <x:v>Základ</x:v>
      </x:c>
      <x:c r="C16" s="6" t="str">
        <x:v>K8 ×2</x:v>
      </x:c>
      <x:c r="D16" s="6" t="str">
        <x:v>K1 ×2</x:v>
      </x:c>
      <x:c r="E16" s="6" t="str">
        <x:v>K3 ×2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OSDM</x:v>
      </x:c>
      <x:c r="B17" s="8" t="n">
        <x:f>'Souhrn'!B6</x:f>
        <x:v>0.22420010436102406</x:v>
      </x:c>
      <x:c r="C17" s="8" t="n">
        <x:f>C6*'K1'!M6+C7*'K2'!M6+C8*'K3'!M6+C9*'K4'!M6+C10*'K5'!M6+C11*'K6'!M6+C12*'K7'!M6+C13*'K8'!M6</x:f>
        <x:v>0.2231236637904261</x:v>
      </x:c>
      <x:c r="D17" s="8" t="n">
        <x:f>D6*'K1'!M6+D7*'K2'!M6+D8*'K3'!M6+D9*'K4'!M6+D10*'K5'!M6+D11*'K6'!M6+D12*'K7'!M6+D13*'K8'!M6</x:f>
        <x:v>0.2194896304679921</x:v>
      </x:c>
      <x:c r="E17" s="8" t="n">
        <x:f>E6*'K1'!M6+E7*'K2'!M6+E8*'K3'!M6+E9*'K4'!M6+E10*'K5'!M6+E11*'K6'!M6+E12*'K7'!M6+E13*'K8'!M6</x:f>
        <x:v>0.22564319942274982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 t="str">
        <x:v>DBEAVER</x:v>
      </x:c>
      <x:c r="B18" s="8" t="n">
        <x:f>'Souhrn'!B7</x:f>
        <x:v>0.24109681775410186</x:v>
      </x:c>
      <x:c r="C18" s="8" t="n">
        <x:f>C6*'K1'!M7+C7*'K2'!M7+C8*'K3'!M7+C9*'K4'!M7+C10*'K5'!M7+C11*'K6'!M7+C12*'K7'!M7+C13*'K8'!M7</x:f>
        <x:v>0.24435866139574655</x:v>
      </x:c>
      <x:c r="D18" s="8" t="n">
        <x:f>D6*'K1'!M7+D7*'K2'!M7+D8*'K3'!M7+D9*'K4'!M7+D10*'K5'!M7+D11*'K6'!M7+D12*'K7'!M7+D13*'K8'!M7</x:f>
        <x:v>0.23053576408358928</x:v>
      </x:c>
      <x:c r="E18" s="8" t="n">
        <x:f>E6*'K1'!M7+E7*'K2'!M7+E8*'K3'!M7+E9*'K4'!M7+E10*'K5'!M7+E11*'K6'!M7+E12*'K7'!M7+E13*'K8'!M7</x:f>
        <x:v>0.2469916319769756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 t="str">
        <x:v>MYSQL</x:v>
      </x:c>
      <x:c r="B19" s="8" t="n">
        <x:f>'Souhrn'!B8</x:f>
        <x:v>0.1930862597906438</x:v>
      </x:c>
      <x:c r="C19" s="8" t="n">
        <x:f>C6*'K1'!M8+C7*'K2'!M8+C8*'K3'!M8+C9*'K4'!M8+C10*'K5'!M8+C11*'K6'!M8+C12*'K7'!M8+C13*'K8'!M8</x:f>
        <x:v>0.1939691927286942</x:v>
      </x:c>
      <x:c r="D19" s="8" t="n">
        <x:f>D6*'K1'!M8+D7*'K2'!M8+D8*'K3'!M8+D9*'K4'!M8+D10*'K5'!M8+D11*'K6'!M8+D12*'K7'!M8+D13*'K8'!M8</x:f>
        <x:v>0.19346969709535958</x:v>
      </x:c>
      <x:c r="E19" s="8" t="n">
        <x:f>E6*'K1'!M8+E7*'K2'!M8+E8*'K3'!M8+E9*'K4'!M8+E10*'K5'!M8+E11*'K6'!M8+E12*'K7'!M8+E13*'K8'!M8</x:f>
        <x:v>0.18197124537741066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 t="str">
        <x:v>PGMODELER</x:v>
      </x:c>
      <x:c r="B20" s="8" t="n">
        <x:f>'Souhrn'!B9</x:f>
        <x:v>0.34161681809423033</x:v>
      </x:c>
      <x:c r="C20" s="8" t="n">
        <x:f>C6*'K1'!M9+C7*'K2'!M9+C8*'K3'!M9+C9*'K4'!M9+C10*'K5'!M9+C11*'K6'!M9+C12*'K7'!M9+C13*'K8'!M9</x:f>
        <x:v>0.33854848208513294</x:v>
      </x:c>
      <x:c r="D20" s="8" t="n">
        <x:f>D6*'K1'!M9+D7*'K2'!M9+D8*'K3'!M9+D9*'K4'!M9+D10*'K5'!M9+D11*'K6'!M9+D12*'K7'!M9+D13*'K8'!M9</x:f>
        <x:v>0.3565049083530589</x:v>
      </x:c>
      <x:c r="E20" s="8" t="n">
        <x:f>E6*'K1'!M9+E7*'K2'!M9+E8*'K3'!M9+E9*'K4'!M9+E10*'K5'!M9+E11*'K6'!M9+E12*'K7'!M9+E13*'K8'!M9</x:f>
        <x:v>0.34539392322286383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 t="str">
        <x:v>Tři oddělené změny vah; matice alternativ se nemění.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 t="str">
        <x:v>Přímá změna vah nevytváří nové Saatyho matice ani nové CR.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Kriteria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K1</x:v>
      </x:c>
      <x:c r="C5" s="6" t="str">
        <x:v>K2</x:v>
      </x:c>
      <x:c r="D5" s="6" t="str">
        <x:v>K3</x:v>
      </x:c>
      <x:c r="E5" s="6" t="str">
        <x:v>K4</x:v>
      </x:c>
      <x:c r="F5" s="6" t="str">
        <x:v>K5</x:v>
      </x:c>
      <x:c r="G5" s="6" t="str">
        <x:v>K6</x:v>
      </x:c>
      <x:c r="H5" s="6" t="str">
        <x:v>K7</x:v>
      </x:c>
      <x:c r="I5" s="6" t="str">
        <x:v>K8</x:v>
      </x:c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K1</x:v>
      </x:c>
      <x:c r="B6" s="8" t="n">
        <x:v>1</x:v>
      </x:c>
      <x:c r="C6" s="9" t="n">
        <x:v>2</x:v>
      </x:c>
      <x:c r="D6" s="9" t="n">
        <x:v>1</x:v>
      </x:c>
      <x:c r="E6" s="9" t="n">
        <x:v>4</x:v>
      </x:c>
      <x:c r="F6" s="9" t="n">
        <x:v>2</x:v>
      </x:c>
      <x:c r="G6" s="9" t="n">
        <x:v>1</x:v>
      </x:c>
      <x:c r="H6" s="9" t="n">
        <x:v>2</x:v>
      </x:c>
      <x:c r="I6" s="9" t="n">
        <x:v>3</x:v>
      </x:c>
      <x:c r="J6" s="8"/>
      <x:c r="K6" s="8"/>
      <x:c r="L6" s="8" t="n">
        <x:f>GEOMEAN(B6:I6)</x:f>
        <x:v>1.7692284081334932</x:v>
      </x:c>
      <x:c r="M6" s="8" t="n">
        <x:f>L6/SUM($L$6:$L$13)</x:f>
        <x:v>0.19576957115137797</x:v>
      </x:c>
      <x:c r="N6" s="8" t="n">
        <x:f>B6*$M$6+C6*$M$7+D6*$M$8+E6*$M$9+F6*$M$10+G6*$M$11+H6*$M$12+I6*$M$13</x:f>
        <x:v>1.5683467966540445</x:v>
      </x:c>
      <x:c r="O6" s="8" t="n">
        <x:f>N6/M6</x:f>
        <x:v>8.01118778281088</x:v>
      </x:c>
    </x:row>
    <x:row r="7" ht="23" customHeight="1">
      <x:c r="A7" s="1" t="str">
        <x:v>K2</x:v>
      </x:c>
      <x:c r="B7" s="8" t="n">
        <x:f>1/C6</x:f>
        <x:v>0.5</x:v>
      </x:c>
      <x:c r="C7" s="8" t="n">
        <x:v>1</x:v>
      </x:c>
      <x:c r="D7" s="9" t="n">
        <x:v>0.5</x:v>
      </x:c>
      <x:c r="E7" s="9" t="n">
        <x:v>2</x:v>
      </x:c>
      <x:c r="F7" s="9" t="n">
        <x:v>1</x:v>
      </x:c>
      <x:c r="G7" s="9" t="n">
        <x:v>0.5</x:v>
      </x:c>
      <x:c r="H7" s="9" t="n">
        <x:v>1</x:v>
      </x:c>
      <x:c r="I7" s="9" t="n">
        <x:v>2</x:v>
      </x:c>
      <x:c r="J7" s="8"/>
      <x:c r="K7" s="8"/>
      <x:c r="L7" s="8" t="n">
        <x:f>GEOMEAN(B7:I7)</x:f>
        <x:v>0.9170040432046712</x:v>
      </x:c>
      <x:c r="M7" s="8" t="n">
        <x:f>L7/SUM($L$6:$L$13)</x:f>
        <x:v>0.10146880270346234</x:v>
      </x:c>
      <x:c r="N7" s="8" t="n">
        <x:f>B7*$M$6+C7*$M$7+D7*$M$8+E7*$M$9+F7*$M$10+G7*$M$11+H7*$M$12+I7*$M$13</x:f>
        <x:v>0.8177767091965551</x:v>
      </x:c>
      <x:c r="O7" s="8" t="n">
        <x:f>N7/M7</x:f>
        <x:v>8.05939054574703</x:v>
      </x:c>
    </x:row>
    <x:row r="8" ht="23" customHeight="1">
      <x:c r="A8" s="1" t="str">
        <x:v>K3</x:v>
      </x:c>
      <x:c r="B8" s="8" t="n">
        <x:f>1/D6</x:f>
        <x:v>1</x:v>
      </x:c>
      <x:c r="C8" s="8" t="n">
        <x:f>1/D7</x:f>
        <x:v>2</x:v>
      </x:c>
      <x:c r="D8" s="8" t="n">
        <x:v>1</x:v>
      </x:c>
      <x:c r="E8" s="9" t="n">
        <x:v>4</x:v>
      </x:c>
      <x:c r="F8" s="9" t="n">
        <x:v>2</x:v>
      </x:c>
      <x:c r="G8" s="9" t="n">
        <x:v>1</x:v>
      </x:c>
      <x:c r="H8" s="9" t="n">
        <x:v>2</x:v>
      </x:c>
      <x:c r="I8" s="9" t="n">
        <x:v>3</x:v>
      </x:c>
      <x:c r="J8" s="8"/>
      <x:c r="K8" s="8"/>
      <x:c r="L8" s="8" t="n">
        <x:f>GEOMEAN(B8:I8)</x:f>
        <x:v>1.7692284081334932</x:v>
      </x:c>
      <x:c r="M8" s="8" t="n">
        <x:f>L8/SUM($L$6:$L$13)</x:f>
        <x:v>0.19576957115137797</x:v>
      </x:c>
      <x:c r="N8" s="8" t="n">
        <x:f>B8*$M$6+C8*$M$7+D8*$M$8+E8*$M$9+F8*$M$10+G8*$M$11+H8*$M$12+I8*$M$13</x:f>
        <x:v>1.5683467966540445</x:v>
      </x:c>
      <x:c r="O8" s="8" t="n">
        <x:f>N8/M8</x:f>
        <x:v>8.01118778281088</x:v>
      </x:c>
    </x:row>
    <x:row r="9" ht="23" customHeight="1">
      <x:c r="A9" s="1" t="str">
        <x:v>K4</x:v>
      </x:c>
      <x:c r="B9" s="8" t="n">
        <x:f>1/E6</x:f>
        <x:v>0.25</x:v>
      </x:c>
      <x:c r="C9" s="8" t="n">
        <x:f>1/E7</x:f>
        <x:v>0.5</x:v>
      </x:c>
      <x:c r="D9" s="8" t="n">
        <x:f>1/E8</x:f>
        <x:v>0.25</x:v>
      </x:c>
      <x:c r="E9" s="8" t="n">
        <x:v>1</x:v>
      </x:c>
      <x:c r="F9" s="9" t="n">
        <x:v>0.5</x:v>
      </x:c>
      <x:c r="G9" s="9" t="n">
        <x:v>0.25</x:v>
      </x:c>
      <x:c r="H9" s="9" t="n">
        <x:v>0.3333333333333333</x:v>
      </x:c>
      <x:c r="I9" s="9" t="n">
        <x:v>0.5</x:v>
      </x:c>
      <x:c r="J9" s="8"/>
      <x:c r="K9" s="8"/>
      <x:c r="L9" s="8" t="n">
        <x:f>GEOMEAN(B9:I9)</x:f>
        <x:v>0.3996695836082202</x:v>
      </x:c>
      <x:c r="M9" s="8" t="n">
        <x:f>L9/SUM($L$6:$L$13)</x:f>
        <x:v>0.0442244441845563</x:v>
      </x:c>
      <x:c r="N9" s="8" t="n">
        <x:f>B9*$M$6+C9*$M$7+D9*$M$8+E9*$M$9+F9*$M$10+G9*$M$11+H9*$M$12+I9*$M$13</x:f>
        <x:v>0.35749435779864974</x:v>
      </x:c>
      <x:c r="O9" s="8" t="n">
        <x:f>N9/M9</x:f>
        <x:v>8.083637101390433</x:v>
      </x:c>
    </x:row>
    <x:row r="10" ht="23" customHeight="1">
      <x:c r="A10" s="1" t="str">
        <x:v>K5</x:v>
      </x:c>
      <x:c r="B10" s="8" t="n">
        <x:f>1/F6</x:f>
        <x:v>0.5</x:v>
      </x:c>
      <x:c r="C10" s="8" t="n">
        <x:f>1/F7</x:f>
        <x:v>1</x:v>
      </x:c>
      <x:c r="D10" s="8" t="n">
        <x:f>1/F8</x:f>
        <x:v>0.5</x:v>
      </x:c>
      <x:c r="E10" s="8" t="n">
        <x:f>1/F9</x:f>
        <x:v>2</x:v>
      </x:c>
      <x:c r="F10" s="8" t="n">
        <x:v>1</x:v>
      </x:c>
      <x:c r="G10" s="9" t="n">
        <x:v>0.5</x:v>
      </x:c>
      <x:c r="H10" s="9" t="n">
        <x:v>1</x:v>
      </x:c>
      <x:c r="I10" s="9" t="n">
        <x:v>1</x:v>
      </x:c>
      <x:c r="J10" s="8"/>
      <x:c r="K10" s="8"/>
      <x:c r="L10" s="8" t="n">
        <x:f>GEOMEAN(B10:I10)</x:f>
        <x:v>0.8408964152537146</x:v>
      </x:c>
      <x:c r="M10" s="8" t="n">
        <x:f>L10/SUM($L$6:$L$13)</x:f>
        <x:v>0.09304730233821205</x:v>
      </x:c>
      <x:c r="N10" s="8" t="n">
        <x:f>B10*$M$6+C10*$M$7+D10*$M$8+E10*$M$9+F10*$M$10+G10*$M$11+H10*$M$12+I10*$M$13</x:f>
        <x:v>0.7505700874574893</x:v>
      </x:c>
      <x:c r="O10" s="8" t="n">
        <x:f>N10/M10</x:f>
        <x:v>8.066543237645806</x:v>
      </x:c>
    </x:row>
    <x:row r="11" ht="23" customHeight="1">
      <x:c r="A11" s="1" t="str">
        <x:v>K6</x:v>
      </x:c>
      <x:c r="B11" s="8" t="n">
        <x:f>1/G6</x:f>
        <x:v>1</x:v>
      </x:c>
      <x:c r="C11" s="8" t="n">
        <x:f>1/G7</x:f>
        <x:v>2</x:v>
      </x:c>
      <x:c r="D11" s="8" t="n">
        <x:f>1/G8</x:f>
        <x:v>1</x:v>
      </x:c>
      <x:c r="E11" s="8" t="n">
        <x:f>1/G9</x:f>
        <x:v>4</x:v>
      </x:c>
      <x:c r="F11" s="8" t="n">
        <x:f>1/G10</x:f>
        <x:v>2</x:v>
      </x:c>
      <x:c r="G11" s="8" t="n">
        <x:v>1</x:v>
      </x:c>
      <x:c r="H11" s="9" t="n">
        <x:v>2</x:v>
      </x:c>
      <x:c r="I11" s="9" t="n">
        <x:v>3</x:v>
      </x:c>
      <x:c r="J11" s="8"/>
      <x:c r="K11" s="8"/>
      <x:c r="L11" s="8" t="n">
        <x:f>GEOMEAN(B11:I11)</x:f>
        <x:v>1.7692284081334932</x:v>
      </x:c>
      <x:c r="M11" s="8" t="n">
        <x:f>L11/SUM($L$6:$L$13)</x:f>
        <x:v>0.19576957115137797</x:v>
      </x:c>
      <x:c r="N11" s="8" t="n">
        <x:f>B11*$M$6+C11*$M$7+D11*$M$8+E11*$M$9+F11*$M$10+G11*$M$11+H11*$M$12+I11*$M$13</x:f>
        <x:v>1.5683467966540445</x:v>
      </x:c>
      <x:c r="O11" s="8" t="n">
        <x:f>N11/M11</x:f>
        <x:v>8.01118778281088</x:v>
      </x:c>
    </x:row>
    <x:row r="12" ht="23" customHeight="1">
      <x:c r="A12" s="1" t="str">
        <x:v>K7</x:v>
      </x:c>
      <x:c r="B12" s="8" t="n">
        <x:f>1/H6</x:f>
        <x:v>0.5</x:v>
      </x:c>
      <x:c r="C12" s="8" t="n">
        <x:f>1/H7</x:f>
        <x:v>1</x:v>
      </x:c>
      <x:c r="D12" s="8" t="n">
        <x:f>1/H8</x:f>
        <x:v>0.5</x:v>
      </x:c>
      <x:c r="E12" s="8" t="n">
        <x:f>1/H9</x:f>
        <x:v>3</x:v>
      </x:c>
      <x:c r="F12" s="8" t="n">
        <x:f>1/H10</x:f>
        <x:v>1</x:v>
      </x:c>
      <x:c r="G12" s="8" t="n">
        <x:f>1/H11</x:f>
        <x:v>0.5</x:v>
      </x:c>
      <x:c r="H12" s="8" t="n">
        <x:v>1</x:v>
      </x:c>
      <x:c r="I12" s="9" t="n">
        <x:v>2</x:v>
      </x:c>
      <x:c r="J12" s="8"/>
      <x:c r="K12" s="8"/>
      <x:c r="L12" s="8" t="n">
        <x:f>GEOMEAN(B12:I12)</x:f>
        <x:v>0.9646786299603094</x:v>
      </x:c>
      <x:c r="M12" s="8" t="n">
        <x:f>L12/SUM($L$6:$L$13)</x:f>
        <x:v>0.10674411558056951</x:v>
      </x:c>
      <x:c r="N12" s="8" t="n">
        <x:f>B12*$M$6+C12*$M$7+D12*$M$8+E12*$M$9+F12*$M$10+G12*$M$11+H12*$M$12+I12*$M$13</x:f>
        <x:v>0.8620011533811115</x:v>
      </x:c>
      <x:c r="O12" s="8" t="n">
        <x:f>N12/M12</x:f>
        <x:v>8.075397399592305</x:v>
      </x:c>
    </x:row>
    <x:row r="13" ht="23" customHeight="1">
      <x:c r="A13" s="1" t="str">
        <x:v>K8</x:v>
      </x:c>
      <x:c r="B13" s="8" t="n">
        <x:f>1/I6</x:f>
        <x:v>0.3333333333333333</x:v>
      </x:c>
      <x:c r="C13" s="8" t="n">
        <x:f>1/I7</x:f>
        <x:v>0.5</x:v>
      </x:c>
      <x:c r="D13" s="8" t="n">
        <x:f>1/I8</x:f>
        <x:v>0.3333333333333333</x:v>
      </x:c>
      <x:c r="E13" s="8" t="n">
        <x:f>1/I9</x:f>
        <x:v>2</x:v>
      </x:c>
      <x:c r="F13" s="8" t="n">
        <x:f>1/I10</x:f>
        <x:v>1</x:v>
      </x:c>
      <x:c r="G13" s="8" t="n">
        <x:f>1/I11</x:f>
        <x:v>0.3333333333333333</x:v>
      </x:c>
      <x:c r="H13" s="8" t="n">
        <x:f>1/I12</x:f>
        <x:v>0.5</x:v>
      </x:c>
      <x:c r="I13" s="8" t="n">
        <x:v>1</x:v>
      </x:c>
      <x:c r="J13" s="8"/>
      <x:c r="K13" s="8"/>
      <x:c r="L13" s="8" t="n">
        <x:f>GEOMEAN(B13:I13)</x:f>
        <x:v>0.6073664241900769</x:v>
      </x:c>
      <x:c r="M13" s="8" t="n">
        <x:f>L13/SUM($L$6:$L$13)</x:f>
        <x:v>0.06720662173906584</x:v>
      </x:c>
      <x:c r="N13" s="8" t="n">
        <x:f>B13*$M$6+C13*$M$7+D13*$M$8+E13*$M$9+F13*$M$10+G13*$M$11+H13*$M$12+I13*$M$13</x:f>
        <x:v>0.5485788427397844</x:v>
      </x:c>
      <x:c r="O13" s="8" t="n">
        <x:f>N13/M13</x:f>
        <x:v>8.162571314321944</x:v>
      </x:c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SUM(M6:M13)</x:f>
        <x:v>0.9999999999999999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AVERAGE(O6:O13)</x:f>
        <x:v>8.06013786839127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MAX(0,(M18-8)/(8-1))</x:f>
        <x:v>0.008591124055895603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1.41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0.006092995784323122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0" priority="1">
      <x:formula>M21&gt;0.1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OSDM</x:v>
      </x:c>
      <x:c r="C5" s="6" t="str">
        <x:v>DBEAVER</x:v>
      </x:c>
      <x:c r="D5" s="6" t="str">
        <x:v>MYSQL</x:v>
      </x:c>
      <x:c r="E5" s="6" t="str">
        <x:v>PGMODELER</x:v>
      </x:c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OSDM</x:v>
      </x:c>
      <x:c r="B6" s="8" t="n">
        <x:v>1</x:v>
      </x:c>
      <x:c r="C6" s="9" t="n">
        <x:v>1</x:v>
      </x:c>
      <x:c r="D6" s="9" t="n">
        <x:v>1</x:v>
      </x:c>
      <x:c r="E6" s="9" t="n">
        <x:v>0.5</x:v>
      </x:c>
      <x:c r="F6" s="8"/>
      <x:c r="G6" s="8"/>
      <x:c r="H6" s="8"/>
      <x:c r="I6" s="8"/>
      <x:c r="J6" s="8"/>
      <x:c r="K6" s="8"/>
      <x:c r="L6" s="8" t="n">
        <x:f>GEOMEAN(B6:E6)</x:f>
        <x:v>0.8408964152537146</x:v>
      </x:c>
      <x:c r="M6" s="8" t="n">
        <x:f>L6/SUM($L$6:$L$9)</x:f>
        <x:v>0.19542831253523968</x:v>
      </x:c>
      <x:c r="N6" s="8" t="n">
        <x:f>B6*$M$6+C6*$M$7+D6*$M$8+E6*$M$9</x:f>
        <x:v>0.7837230199197064</x:v>
      </x:c>
      <x:c r="O6" s="8" t="n">
        <x:f>N6/M6</x:f>
        <x:v>4.010283923310166</x:v>
      </x:c>
    </x:row>
    <x:row r="7" ht="23" customHeight="1">
      <x:c r="A7" s="1" t="str">
        <x:v>DBEAVER</x:v>
      </x:c>
      <x:c r="B7" s="8" t="n">
        <x:f>1/C6</x:f>
        <x:v>1</x:v>
      </x:c>
      <x:c r="C7" s="8" t="n">
        <x:v>1</x:v>
      </x:c>
      <x:c r="D7" s="9" t="n">
        <x:v>1</x:v>
      </x:c>
      <x:c r="E7" s="9" t="n">
        <x:v>0.3333333333333333</x:v>
      </x:c>
      <x:c r="F7" s="8"/>
      <x:c r="G7" s="8"/>
      <x:c r="H7" s="8"/>
      <x:c r="I7" s="8"/>
      <x:c r="J7" s="8"/>
      <x:c r="K7" s="8"/>
      <x:c r="L7" s="8" t="n">
        <x:f>GEOMEAN(B7:E7)</x:f>
        <x:v>0.7598356856515925</x:v>
      </x:c>
      <x:c r="M7" s="8" t="n">
        <x:f>L7/SUM($L$6:$L$9)</x:f>
        <x:v>0.17658941476893353</x:v>
      </x:c>
      <x:c r="N7" s="8" t="n">
        <x:f>B7*$M$6+C7*$M$7+D7*$M$8+E7*$M$9</x:f>
        <x:v>0.7116306932262753</x:v>
      </x:c>
      <x:c r="O7" s="8" t="n">
        <x:f>N7/M7</x:f>
        <x:v>4.02986042032837</x:v>
      </x:c>
    </x:row>
    <x:row r="8" ht="23" customHeight="1">
      <x:c r="A8" s="1" t="str">
        <x:v>MYSQL</x:v>
      </x:c>
      <x:c r="B8" s="8" t="n">
        <x:f>1/D6</x:f>
        <x:v>1</x:v>
      </x:c>
      <x:c r="C8" s="8" t="n">
        <x:f>1/D7</x:f>
        <x:v>1</x:v>
      </x:c>
      <x:c r="D8" s="8" t="n">
        <x:v>1</x:v>
      </x:c>
      <x:c r="E8" s="9" t="n">
        <x:v>0.5</x:v>
      </x:c>
      <x:c r="F8" s="8"/>
      <x:c r="G8" s="8"/>
      <x:c r="H8" s="8"/>
      <x:c r="I8" s="8"/>
      <x:c r="J8" s="8"/>
      <x:c r="K8" s="8"/>
      <x:c r="L8" s="8" t="n">
        <x:f>GEOMEAN(B8:E8)</x:f>
        <x:v>0.8408964152537146</x:v>
      </x:c>
      <x:c r="M8" s="8" t="n">
        <x:f>L8/SUM($L$6:$L$9)</x:f>
        <x:v>0.19542831253523968</x:v>
      </x:c>
      <x:c r="N8" s="8" t="n">
        <x:f>B8*$M$6+C8*$M$7+D8*$M$8+E8*$M$9</x:f>
        <x:v>0.7837230199197064</x:v>
      </x:c>
      <x:c r="O8" s="8" t="n">
        <x:f>N8/M8</x:f>
        <x:v>4.010283923310166</x:v>
      </x:c>
    </x:row>
    <x:row r="9" ht="23" customHeight="1">
      <x:c r="A9" s="1" t="str">
        <x:v>PGMODELER</x:v>
      </x:c>
      <x:c r="B9" s="8" t="n">
        <x:f>1/E6</x:f>
        <x:v>2</x:v>
      </x:c>
      <x:c r="C9" s="8" t="n">
        <x:f>1/E7</x:f>
        <x:v>3</x:v>
      </x:c>
      <x:c r="D9" s="8" t="n">
        <x:f>1/E8</x:f>
        <x:v>2</x:v>
      </x:c>
      <x:c r="E9" s="8" t="n">
        <x:v>1</x:v>
      </x:c>
      <x:c r="F9" s="8"/>
      <x:c r="G9" s="8"/>
      <x:c r="H9" s="8"/>
      <x:c r="I9" s="8"/>
      <x:c r="J9" s="8"/>
      <x:c r="K9" s="8"/>
      <x:c r="L9" s="8" t="n">
        <x:f>GEOMEAN(B9:E9)</x:f>
        <x:v>1.8612097182041993</x:v>
      </x:c>
      <x:c r="M9" s="8" t="n">
        <x:f>L9/SUM($L$6:$L$9)</x:f>
        <x:v>0.43255396016058695</x:v>
      </x:c>
      <x:c r="N9" s="8" t="n">
        <x:f>B9*$M$6+C9*$M$7+D9*$M$8+E9*$M$9</x:f>
        <x:v>1.7440354546083463</x:v>
      </x:c>
      <x:c r="O9" s="8" t="n">
        <x:f>N9/M9</x:f>
        <x:v>4.031948878611279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SUM(M6:M9)</x:f>
        <x:v>0.9999999999999998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AVERAGE(O6:O9)</x:f>
        <x:v>4.020594286389995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MAX(0,(M18-4)/(4-1))</x:f>
        <x:v>0.006864762129998425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0.9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0.007627513477776028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1" priority="1">
      <x:formula>M21&gt;0.1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OSDM</x:v>
      </x:c>
      <x:c r="C5" s="6" t="str">
        <x:v>DBEAVER</x:v>
      </x:c>
      <x:c r="D5" s="6" t="str">
        <x:v>MYSQL</x:v>
      </x:c>
      <x:c r="E5" s="6" t="str">
        <x:v>PGMODELER</x:v>
      </x:c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OSDM</x:v>
      </x:c>
      <x:c r="B6" s="8" t="n">
        <x:v>1</x:v>
      </x:c>
      <x:c r="C6" s="9" t="n">
        <x:v>0.3333333333333333</x:v>
      </x:c>
      <x:c r="D6" s="9" t="n">
        <x:v>0.5</x:v>
      </x:c>
      <x:c r="E6" s="9" t="n">
        <x:v>0.3333333333333333</x:v>
      </x:c>
      <x:c r="F6" s="8"/>
      <x:c r="G6" s="8"/>
      <x:c r="H6" s="8"/>
      <x:c r="I6" s="8"/>
      <x:c r="J6" s="8"/>
      <x:c r="K6" s="8"/>
      <x:c r="L6" s="8" t="n">
        <x:f>GEOMEAN(B6:E6)</x:f>
        <x:v>0.48549177170732344</x:v>
      </x:c>
      <x:c r="M6" s="8" t="n">
        <x:f>L6/SUM($L$6:$L$9)</x:f>
        <x:v>0.10893874663644047</x:v>
      </x:c>
      <x:c r="N6" s="8" t="n">
        <x:f>B6*$M$6+C6*$M$7+D6*$M$8+E6*$M$9</x:f>
        <x:v>0.4374070717721583</x:v>
      </x:c>
      <x:c r="O6" s="8" t="n">
        <x:f>N6/M6</x:f>
        <x:v>4.015165267431522</x:v>
      </x:c>
    </x:row>
    <x:row r="7" ht="23" customHeight="1">
      <x:c r="A7" s="1" t="str">
        <x:v>DBEAVER</x:v>
      </x:c>
      <x:c r="B7" s="8" t="n">
        <x:f>1/C6</x:f>
        <x:v>3</x:v>
      </x:c>
      <x:c r="C7" s="8" t="n">
        <x:v>1</x:v>
      </x:c>
      <x:c r="D7" s="9" t="n">
        <x:v>2</x:v>
      </x:c>
      <x:c r="E7" s="9" t="n">
        <x:v>1</x:v>
      </x:c>
      <x:c r="F7" s="8"/>
      <x:c r="G7" s="8"/>
      <x:c r="H7" s="8"/>
      <x:c r="I7" s="8"/>
      <x:c r="J7" s="8"/>
      <x:c r="K7" s="8"/>
      <x:c r="L7" s="8" t="n">
        <x:f>GEOMEAN(B7:E7)</x:f>
        <x:v>1.5650845800732873</x:v>
      </x:c>
      <x:c r="M7" s="8" t="n">
        <x:f>L7/SUM($L$6:$L$9)</x:f>
        <x:v>0.3511869046381858</x:v>
      </x:c>
      <x:c r="N7" s="8" t="n">
        <x:f>B7*$M$6+C7*$M$7+D7*$M$8+E7*$M$9</x:f>
        <x:v>1.406564937360069</x:v>
      </x:c>
      <x:c r="O7" s="8" t="n">
        <x:f>N7/M7</x:f>
        <x:v>4.005174790925642</x:v>
      </x:c>
    </x:row>
    <x:row r="8" ht="23" customHeight="1">
      <x:c r="A8" s="1" t="str">
        <x:v>MYSQL</x:v>
      </x:c>
      <x:c r="B8" s="8" t="n">
        <x:f>1/D6</x:f>
        <x:v>2</x:v>
      </x:c>
      <x:c r="C8" s="8" t="n">
        <x:f>1/D7</x:f>
        <x:v>0.5</x:v>
      </x:c>
      <x:c r="D8" s="8" t="n">
        <x:v>1</x:v>
      </x:c>
      <x:c r="E8" s="9" t="n">
        <x:v>0.5</x:v>
      </x:c>
      <x:c r="F8" s="8"/>
      <x:c r="G8" s="8"/>
      <x:c r="H8" s="8"/>
      <x:c r="I8" s="8"/>
      <x:c r="J8" s="8"/>
      <x:c r="K8" s="8"/>
      <x:c r="L8" s="8" t="n">
        <x:f>GEOMEAN(B8:E8)</x:f>
        <x:v>0.8408964152537146</x:v>
      </x:c>
      <x:c r="M8" s="8" t="n">
        <x:f>L8/SUM($L$6:$L$9)</x:f>
        <x:v>0.18868744408718804</x:v>
      </x:c>
      <x:c r="N8" s="8" t="n">
        <x:f>B8*$M$6+C8*$M$7+D8*$M$8+E8*$M$9</x:f>
        <x:v>0.7577518419982547</x:v>
      </x:c>
      <x:c r="O8" s="8" t="n">
        <x:f>N8/M8</x:f>
        <x:v>4.01591025658345</x:v>
      </x:c>
    </x:row>
    <x:row r="9" ht="23" customHeight="1">
      <x:c r="A9" s="1" t="str">
        <x:v>PGMODELER</x:v>
      </x:c>
      <x:c r="B9" s="8" t="n">
        <x:f>1/E6</x:f>
        <x:v>3</x:v>
      </x:c>
      <x:c r="C9" s="8" t="n">
        <x:f>1/E7</x:f>
        <x:v>1</x:v>
      </x:c>
      <x:c r="D9" s="8" t="n">
        <x:f>1/E8</x:f>
        <x:v>2</x:v>
      </x:c>
      <x:c r="E9" s="8" t="n">
        <x:v>1</x:v>
      </x:c>
      <x:c r="F9" s="8"/>
      <x:c r="G9" s="8"/>
      <x:c r="H9" s="8"/>
      <x:c r="I9" s="8"/>
      <x:c r="J9" s="8"/>
      <x:c r="K9" s="8"/>
      <x:c r="L9" s="8" t="n">
        <x:f>GEOMEAN(B9:E9)</x:f>
        <x:v>1.5650845800732873</x:v>
      </x:c>
      <x:c r="M9" s="8" t="n">
        <x:f>L9/SUM($L$6:$L$9)</x:f>
        <x:v>0.3511869046381858</x:v>
      </x:c>
      <x:c r="N9" s="8" t="n">
        <x:f>B9*$M$6+C9*$M$7+D9*$M$8+E9*$M$9</x:f>
        <x:v>1.406564937360069</x:v>
      </x:c>
      <x:c r="O9" s="8" t="n">
        <x:f>N9/M9</x:f>
        <x:v>4.005174790925642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SUM(M6:M9)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AVERAGE(O6:O9)</x:f>
        <x:v>4.010356276466563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MAX(0,(M18-4)/(4-1))</x:f>
        <x:v>0.003452092155521077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0.9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0.003835657950578974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2" priority="1">
      <x:formula>M21&gt;0.1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OSDM</x:v>
      </x:c>
      <x:c r="C5" s="6" t="str">
        <x:v>DBEAVER</x:v>
      </x:c>
      <x:c r="D5" s="6" t="str">
        <x:v>MYSQL</x:v>
      </x:c>
      <x:c r="E5" s="6" t="str">
        <x:v>PGMODELER</x:v>
      </x:c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OSDM</x:v>
      </x:c>
      <x:c r="B6" s="8" t="n">
        <x:v>1</x:v>
      </x:c>
      <x:c r="C6" s="9" t="n">
        <x:v>1</x:v>
      </x:c>
      <x:c r="D6" s="9" t="n">
        <x:v>2</x:v>
      </x:c>
      <x:c r="E6" s="9" t="n">
        <x:v>0.5</x:v>
      </x:c>
      <x:c r="F6" s="8"/>
      <x:c r="G6" s="8"/>
      <x:c r="H6" s="8"/>
      <x:c r="I6" s="8"/>
      <x:c r="J6" s="8"/>
      <x:c r="K6" s="8"/>
      <x:c r="L6" s="8" t="n">
        <x:f>GEOMEAN(B6:E6)</x:f>
        <x:v>1</x:v>
      </x:c>
      <x:c r="M6" s="8" t="n">
        <x:f>L6/SUM($L$6:$L$9)</x:f>
        <x:v>0.23301459556587137</x:v>
      </x:c>
      <x:c r="N6" s="8" t="n">
        <x:f>B6*$M$6+C6*$M$7+D6*$M$8+E6*$M$9</x:f>
        <x:v>0.942851463809475</x:v>
      </x:c>
      <x:c r="O6" s="8" t="n">
        <x:f>N6/M6</x:f>
        <x:v>4.046319336862907</x:v>
      </x:c>
    </x:row>
    <x:row r="7" ht="23" customHeight="1">
      <x:c r="A7" s="1" t="str">
        <x:v>DBEAVER</x:v>
      </x:c>
      <x:c r="B7" s="8" t="n">
        <x:f>1/C6</x:f>
        <x:v>1</x:v>
      </x:c>
      <x:c r="C7" s="8" t="n">
        <x:v>1</x:v>
      </x:c>
      <x:c r="D7" s="9" t="n">
        <x:v>2</x:v>
      </x:c>
      <x:c r="E7" s="9" t="n">
        <x:v>1</x:v>
      </x:c>
      <x:c r="F7" s="8"/>
      <x:c r="G7" s="8"/>
      <x:c r="H7" s="8"/>
      <x:c r="I7" s="8"/>
      <x:c r="J7" s="8"/>
      <x:c r="K7" s="8"/>
      <x:c r="L7" s="8" t="n">
        <x:f>GEOMEAN(B7:E7)</x:f>
        <x:v>1.189207115002721</x:v>
      </x:c>
      <x:c r="M7" s="8" t="n">
        <x:f>L7/SUM($L$6:$L$9)</x:f>
        <x:v>0.2771026149464157</x:v>
      </x:c>
      <x:c r="N7" s="8" t="n">
        <x:f>B7*$M$6+C7*$M$7+D7*$M$8+E7*$M$9</x:f>
        <x:v>1.1251952390355544</x:v>
      </x:c>
      <x:c r="O7" s="8" t="n">
        <x:f>N7/M7</x:f>
        <x:v>4.060572431816053</x:v>
      </x:c>
    </x:row>
    <x:row r="8" ht="23" customHeight="1">
      <x:c r="A8" s="1" t="str">
        <x:v>MYSQL</x:v>
      </x:c>
      <x:c r="B8" s="8" t="n">
        <x:f>1/D6</x:f>
        <x:v>0.5</x:v>
      </x:c>
      <x:c r="C8" s="8" t="n">
        <x:f>1/D7</x:f>
        <x:v>0.5</x:v>
      </x:c>
      <x:c r="D8" s="8" t="n">
        <x:v>1</x:v>
      </x:c>
      <x:c r="E8" s="9" t="n">
        <x:v>0.3333333333333333</x:v>
      </x:c>
      <x:c r="F8" s="8"/>
      <x:c r="G8" s="8"/>
      <x:c r="H8" s="8"/>
      <x:c r="I8" s="8"/>
      <x:c r="J8" s="8"/>
      <x:c r="K8" s="8"/>
      <x:c r="L8" s="8" t="n">
        <x:f>GEOMEAN(B8:E8)</x:f>
        <x:v>0.537284965911771</x:v>
      </x:c>
      <x:c r="M8" s="8" t="n">
        <x:f>L8/SUM($L$6:$L$9)</x:f>
        <x:v>0.1251952390355543</x:v>
      </x:c>
      <x:c r="N8" s="8" t="n">
        <x:f>B8*$M$6+C8*$M$7+D8*$M$8+E8*$M$9</x:f>
        <x:v>0.501816361109084</x:v>
      </x:c>
      <x:c r="O8" s="8" t="n">
        <x:f>N8/M8</x:f>
        <x:v>4.008270322217068</x:v>
      </x:c>
    </x:row>
    <x:row r="9" ht="23" customHeight="1">
      <x:c r="A9" s="1" t="str">
        <x:v>PGMODELER</x:v>
      </x:c>
      <x:c r="B9" s="8" t="n">
        <x:f>1/E6</x:f>
        <x:v>2</x:v>
      </x:c>
      <x:c r="C9" s="8" t="n">
        <x:f>1/E7</x:f>
        <x:v>1</x:v>
      </x:c>
      <x:c r="D9" s="8" t="n">
        <x:f>1/E8</x:f>
        <x:v>3</x:v>
      </x:c>
      <x:c r="E9" s="8" t="n">
        <x:v>1</x:v>
      </x:c>
      <x:c r="F9" s="8"/>
      <x:c r="G9" s="8"/>
      <x:c r="H9" s="8"/>
      <x:c r="I9" s="8"/>
      <x:c r="J9" s="8"/>
      <x:c r="K9" s="8"/>
      <x:c r="L9" s="8" t="n">
        <x:f>GEOMEAN(B9:E9)</x:f>
        <x:v>1.5650845800732873</x:v>
      </x:c>
      <x:c r="M9" s="8" t="n">
        <x:f>L9/SUM($L$6:$L$9)</x:f>
        <x:v>0.36468755045215867</x:v>
      </x:c>
      <x:c r="N9" s="8" t="n">
        <x:f>B9*$M$6+C9*$M$7+D9*$M$8+E9*$M$9</x:f>
        <x:v>1.4834050736369802</x:v>
      </x:c>
      <x:c r="O9" s="8" t="n">
        <x:f>N9/M9</x:f>
        <x:v>4.067605466097697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SUM(M6:M9)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AVERAGE(O6:O9)</x:f>
        <x:v>4.045691889248431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MAX(0,(M18-4)/(4-1))</x:f>
        <x:v>0.015230629749477012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0.9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0.016922921943863346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3" priority="1">
      <x:formula>M21&gt;0.1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OSDM</x:v>
      </x:c>
      <x:c r="C5" s="6" t="str">
        <x:v>DBEAVER</x:v>
      </x:c>
      <x:c r="D5" s="6" t="str">
        <x:v>MYSQL</x:v>
      </x:c>
      <x:c r="E5" s="6" t="str">
        <x:v>PGMODELER</x:v>
      </x:c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OSDM</x:v>
      </x:c>
      <x:c r="B6" s="8" t="n">
        <x:v>1</x:v>
      </x:c>
      <x:c r="C6" s="9" t="n">
        <x:v>2</x:v>
      </x:c>
      <x:c r="D6" s="9" t="n">
        <x:v>0.5</x:v>
      </x:c>
      <x:c r="E6" s="9" t="n">
        <x:v>1</x:v>
      </x:c>
      <x:c r="F6" s="8"/>
      <x:c r="G6" s="8"/>
      <x:c r="H6" s="8"/>
      <x:c r="I6" s="8"/>
      <x:c r="J6" s="8"/>
      <x:c r="K6" s="8"/>
      <x:c r="L6" s="8" t="n">
        <x:f>GEOMEAN(B6:E6)</x:f>
        <x:v>1</x:v>
      </x:c>
      <x:c r="M6" s="8" t="n">
        <x:f>L6/SUM($L$6:$L$9)</x:f>
        <x:v>0.2290084885376715</x:v>
      </x:c>
      <x:c r="N6" s="8" t="n">
        <x:f>B6*$M$6+C6*$M$7+D6*$M$8+E6*$M$9</x:f>
        <x:v>0.9319729097780705</x:v>
      </x:c>
      <x:c r="O6" s="8" t="n">
        <x:f>N6/M6</x:f>
        <x:v>4.069599846403783</x:v>
      </x:c>
    </x:row>
    <x:row r="7" ht="23" customHeight="1">
      <x:c r="A7" s="1" t="str">
        <x:v>DBEAVER</x:v>
      </x:c>
      <x:c r="B7" s="8" t="n">
        <x:f>1/C6</x:f>
        <x:v>0.5</x:v>
      </x:c>
      <x:c r="C7" s="8" t="n">
        <x:v>1</x:v>
      </x:c>
      <x:c r="D7" s="9" t="n">
        <x:v>0.3333333333333333</x:v>
      </x:c>
      <x:c r="E7" s="9" t="n">
        <x:v>0.3333333333333333</x:v>
      </x:c>
      <x:c r="F7" s="8"/>
      <x:c r="G7" s="8"/>
      <x:c r="H7" s="8"/>
      <x:c r="I7" s="8"/>
      <x:c r="J7" s="8"/>
      <x:c r="K7" s="8"/>
      <x:c r="L7" s="8" t="n">
        <x:f>GEOMEAN(B7:E7)</x:f>
        <x:v>0.4854917717073234</x:v>
      </x:c>
      <x:c r="M7" s="8" t="n">
        <x:f>L7/SUM($L$6:$L$9)</x:f>
        <x:v>0.1111817368361704</x:v>
      </x:c>
      <x:c r="N7" s="8" t="n">
        <x:f>B7*$M$6+C7*$M$7+D7*$M$8+E7*$M$9</x:f>
        <x:v>0.4456225726470588</x:v>
      </x:c>
      <x:c r="O7" s="8" t="n">
        <x:f>N7/M7</x:f>
        <x:v>4.0080555073869455</x:v>
      </x:c>
    </x:row>
    <x:row r="8" ht="23" customHeight="1">
      <x:c r="A8" s="1" t="str">
        <x:v>MYSQL</x:v>
      </x:c>
      <x:c r="B8" s="8" t="n">
        <x:f>1/D6</x:f>
        <x:v>2</x:v>
      </x:c>
      <x:c r="C8" s="8" t="n">
        <x:f>1/D7</x:f>
        <x:v>3</x:v>
      </x:c>
      <x:c r="D8" s="8" t="n">
        <x:v>1</x:v>
      </x:c>
      <x:c r="E8" s="9" t="n">
        <x:v>1</x:v>
      </x:c>
      <x:c r="F8" s="8"/>
      <x:c r="G8" s="8"/>
      <x:c r="H8" s="8"/>
      <x:c r="I8" s="8"/>
      <x:c r="J8" s="8"/>
      <x:c r="K8" s="8"/>
      <x:c r="L8" s="8" t="n">
        <x:f>GEOMEAN(B8:E8)</x:f>
        <x:v>1.5650845800732873</x:v>
      </x:c>
      <x:c r="M8" s="8" t="n">
        <x:f>L8/SUM($L$6:$L$9)</x:f>
        <x:v>0.35841765411619986</x:v>
      </x:c>
      <x:c r="N8" s="8" t="n">
        <x:f>B8*$M$6+C8*$M$7+D8*$M$8+E8*$M$9</x:f>
        <x:v>1.4513719622100125</x:v>
      </x:c>
      <x:c r="O8" s="8" t="n">
        <x:f>N8/M8</x:f>
        <x:v>4.04938748284836</x:v>
      </x:c>
    </x:row>
    <x:row r="9" ht="23" customHeight="1">
      <x:c r="A9" s="1" t="str">
        <x:v>PGMODELER</x:v>
      </x:c>
      <x:c r="B9" s="8" t="n">
        <x:f>1/E6</x:f>
        <x:v>1</x:v>
      </x:c>
      <x:c r="C9" s="8" t="n">
        <x:f>1/E7</x:f>
        <x:v>3</x:v>
      </x:c>
      <x:c r="D9" s="8" t="n">
        <x:f>1/E8</x:f>
        <x:v>1</x:v>
      </x:c>
      <x:c r="E9" s="8" t="n">
        <x:v>1</x:v>
      </x:c>
      <x:c r="F9" s="8"/>
      <x:c r="G9" s="8"/>
      <x:c r="H9" s="8"/>
      <x:c r="I9" s="8"/>
      <x:c r="J9" s="8"/>
      <x:c r="K9" s="8"/>
      <x:c r="L9" s="8" t="n">
        <x:f>GEOMEAN(B9:E9)</x:f>
        <x:v>1.3160740129524924</x:v>
      </x:c>
      <x:c r="M9" s="8" t="n">
        <x:f>L9/SUM($L$6:$L$9)</x:f>
        <x:v>0.30139212050995823</x:v>
      </x:c>
      <x:c r="N9" s="8" t="n">
        <x:f>B9*$M$6+C9*$M$7+D9*$M$8+E9*$M$9</x:f>
        <x:v>1.2223634736723408</x:v>
      </x:c>
      <x:c r="O9" s="8" t="n">
        <x:f>N9/M9</x:f>
        <x:v>4.055724720354635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SUM(M6:M9)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AVERAGE(O6:O9)</x:f>
        <x:v>4.045691889248431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MAX(0,(M18-4)/(4-1))</x:f>
        <x:v>0.015230629749477012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0.9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0.016922921943863346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4" priority="1">
      <x:formula>M21&gt;0.1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OSDM</x:v>
      </x:c>
      <x:c r="C5" s="6" t="str">
        <x:v>DBEAVER</x:v>
      </x:c>
      <x:c r="D5" s="6" t="str">
        <x:v>MYSQL</x:v>
      </x:c>
      <x:c r="E5" s="6" t="str">
        <x:v>PGMODELER</x:v>
      </x:c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OSDM</x:v>
      </x:c>
      <x:c r="B6" s="8" t="n">
        <x:v>1</x:v>
      </x:c>
      <x:c r="C6" s="9" t="n">
        <x:v>1</x:v>
      </x:c>
      <x:c r="D6" s="9" t="n">
        <x:v>0.5</x:v>
      </x:c>
      <x:c r="E6" s="9" t="n">
        <x:v>0.5</x:v>
      </x:c>
      <x:c r="F6" s="8"/>
      <x:c r="G6" s="8"/>
      <x:c r="H6" s="8"/>
      <x:c r="I6" s="8"/>
      <x:c r="J6" s="8"/>
      <x:c r="K6" s="8"/>
      <x:c r="L6" s="8" t="n">
        <x:f>GEOMEAN(B6:E6)</x:f>
        <x:v>0.7071067811865475</x:v>
      </x:c>
      <x:c r="M6" s="8" t="n">
        <x:f>L6/SUM($L$6:$L$9)</x:f>
        <x:v>0.1650108634927353</x:v>
      </x:c>
      <x:c r="N6" s="8" t="n">
        <x:f>B6*$M$6+C6*$M$7+D6*$M$8+E6*$M$9</x:f>
        <x:v>0.6650108634927353</x:v>
      </x:c>
      <x:c r="O6" s="8" t="n">
        <x:f>N6/M6</x:f>
        <x:v>4.030103530256436</x:v>
      </x:c>
    </x:row>
    <x:row r="7" ht="23" customHeight="1">
      <x:c r="A7" s="1" t="str">
        <x:v>DBEAVER</x:v>
      </x:c>
      <x:c r="B7" s="8" t="n">
        <x:f>1/C6</x:f>
        <x:v>1</x:v>
      </x:c>
      <x:c r="C7" s="8" t="n">
        <x:v>1</x:v>
      </x:c>
      <x:c r="D7" s="9" t="n">
        <x:v>0.5</x:v>
      </x:c>
      <x:c r="E7" s="9" t="n">
        <x:v>0.5</x:v>
      </x:c>
      <x:c r="F7" s="8"/>
      <x:c r="G7" s="8"/>
      <x:c r="H7" s="8"/>
      <x:c r="I7" s="8"/>
      <x:c r="J7" s="8"/>
      <x:c r="K7" s="8"/>
      <x:c r="L7" s="8" t="n">
        <x:f>GEOMEAN(B7:E7)</x:f>
        <x:v>0.7071067811865475</x:v>
      </x:c>
      <x:c r="M7" s="8" t="n">
        <x:f>L7/SUM($L$6:$L$9)</x:f>
        <x:v>0.1650108634927353</x:v>
      </x:c>
      <x:c r="N7" s="8" t="n">
        <x:f>B7*$M$6+C7*$M$7+D7*$M$8+E7*$M$9</x:f>
        <x:v>0.6650108634927353</x:v>
      </x:c>
      <x:c r="O7" s="8" t="n">
        <x:f>N7/M7</x:f>
        <x:v>4.030103530256436</x:v>
      </x:c>
    </x:row>
    <x:row r="8" ht="23" customHeight="1">
      <x:c r="A8" s="1" t="str">
        <x:v>MYSQL</x:v>
      </x:c>
      <x:c r="B8" s="8" t="n">
        <x:f>1/D6</x:f>
        <x:v>2</x:v>
      </x:c>
      <x:c r="C8" s="8" t="n">
        <x:f>1/D7</x:f>
        <x:v>2</x:v>
      </x:c>
      <x:c r="D8" s="8" t="n">
        <x:v>1</x:v>
      </x:c>
      <x:c r="E8" s="9" t="n">
        <x:v>0.5</x:v>
      </x:c>
      <x:c r="F8" s="8"/>
      <x:c r="G8" s="8"/>
      <x:c r="H8" s="8"/>
      <x:c r="I8" s="8"/>
      <x:c r="J8" s="8"/>
      <x:c r="K8" s="8"/>
      <x:c r="L8" s="8" t="n">
        <x:f>GEOMEAN(B8:E8)</x:f>
        <x:v>1.189207115002721</x:v>
      </x:c>
      <x:c r="M8" s="8" t="n">
        <x:f>L8/SUM($L$6:$L$9)</x:f>
        <x:v>0.2775140871779223</x:v>
      </x:c>
      <x:c r="N8" s="8" t="n">
        <x:f>B8*$M$6+C8*$M$7+D8*$M$8+E8*$M$9</x:f>
        <x:v>1.1337896340671672</x:v>
      </x:c>
      <x:c r="O8" s="8" t="n">
        <x:f>N8/M8</x:f>
        <x:v>4.0855210111919895</x:v>
      </x:c>
    </x:row>
    <x:row r="9" ht="23" customHeight="1">
      <x:c r="A9" s="1" t="str">
        <x:v>PGMODELER</x:v>
      </x:c>
      <x:c r="B9" s="8" t="n">
        <x:f>1/E6</x:f>
        <x:v>2</x:v>
      </x:c>
      <x:c r="C9" s="8" t="n">
        <x:f>1/E7</x:f>
        <x:v>2</x:v>
      </x:c>
      <x:c r="D9" s="8" t="n">
        <x:f>1/E8</x:f>
        <x:v>2</x:v>
      </x:c>
      <x:c r="E9" s="8" t="n">
        <x:v>1</x:v>
      </x:c>
      <x:c r="F9" s="8"/>
      <x:c r="G9" s="8"/>
      <x:c r="H9" s="8"/>
      <x:c r="I9" s="8"/>
      <x:c r="J9" s="8"/>
      <x:c r="K9" s="8"/>
      <x:c r="L9" s="8" t="n">
        <x:f>GEOMEAN(B9:E9)</x:f>
        <x:v>1.681792830507429</x:v>
      </x:c>
      <x:c r="M9" s="8" t="n">
        <x:f>L9/SUM($L$6:$L$9)</x:f>
        <x:v>0.3924641858366072</x:v>
      </x:c>
      <x:c r="N9" s="8" t="n">
        <x:f>B9*$M$6+C9*$M$7+D9*$M$8+E9*$M$9</x:f>
        <x:v>1.6075358141633929</x:v>
      </x:c>
      <x:c r="O9" s="8" t="n">
        <x:f>N9/M9</x:f>
        <x:v>4.096006392880524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SUM(M6:M9)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AVERAGE(O6:O9)</x:f>
        <x:v>4.060433616146346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MAX(0,(M18-4)/(4-1))</x:f>
        <x:v>0.020144538715448707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0.9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0.02238282079494301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5" priority="1">
      <x:formula>M21&gt;0.1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OSDM</x:v>
      </x:c>
      <x:c r="C5" s="6" t="str">
        <x:v>DBEAVER</x:v>
      </x:c>
      <x:c r="D5" s="6" t="str">
        <x:v>MYSQL</x:v>
      </x:c>
      <x:c r="E5" s="6" t="str">
        <x:v>PGMODELER</x:v>
      </x:c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OSDM</x:v>
      </x:c>
      <x:c r="B6" s="8" t="n">
        <x:v>1</x:v>
      </x:c>
      <x:c r="C6" s="9" t="n">
        <x:v>2</x:v>
      </x:c>
      <x:c r="D6" s="9" t="n">
        <x:v>3</x:v>
      </x:c>
      <x:c r="E6" s="9" t="n">
        <x:v>1</x:v>
      </x:c>
      <x:c r="F6" s="8"/>
      <x:c r="G6" s="8"/>
      <x:c r="H6" s="8"/>
      <x:c r="I6" s="8"/>
      <x:c r="J6" s="8"/>
      <x:c r="K6" s="8"/>
      <x:c r="L6" s="8" t="n">
        <x:f>GEOMEAN(B6:E6)</x:f>
        <x:v>1.5650845800732873</x:v>
      </x:c>
      <x:c r="M6" s="8" t="n">
        <x:f>L6/SUM($L$6:$L$9)</x:f>
        <x:v>0.36468755045215867</x:v>
      </x:c>
      <x:c r="N6" s="8" t="n">
        <x:f>B6*$M$6+C6*$M$7+D6*$M$8+E6*$M$9</x:f>
        <x:v>1.48340507363698</x:v>
      </x:c>
      <x:c r="O6" s="8" t="n">
        <x:f>N6/M6</x:f>
        <x:v>4.067605466097696</x:v>
      </x:c>
    </x:row>
    <x:row r="7" ht="23" customHeight="1">
      <x:c r="A7" s="1" t="str">
        <x:v>DBEAVER</x:v>
      </x:c>
      <x:c r="B7" s="8" t="n">
        <x:f>1/C6</x:f>
        <x:v>0.5</x:v>
      </x:c>
      <x:c r="C7" s="8" t="n">
        <x:v>1</x:v>
      </x:c>
      <x:c r="D7" s="9" t="n">
        <x:v>2</x:v>
      </x:c>
      <x:c r="E7" s="9" t="n">
        <x:v>1</x:v>
      </x:c>
      <x:c r="F7" s="8"/>
      <x:c r="G7" s="8"/>
      <x:c r="H7" s="8"/>
      <x:c r="I7" s="8"/>
      <x:c r="J7" s="8"/>
      <x:c r="K7" s="8"/>
      <x:c r="L7" s="8" t="n">
        <x:f>GEOMEAN(B7:E7)</x:f>
        <x:v>1</x:v>
      </x:c>
      <x:c r="M7" s="8" t="n">
        <x:f>L7/SUM($L$6:$L$9)</x:f>
        <x:v>0.23301459556587137</x:v>
      </x:c>
      <x:c r="N7" s="8" t="n">
        <x:f>B7*$M$6+C7*$M$7+D7*$M$8+E7*$M$9</x:f>
        <x:v>0.9428514638094749</x:v>
      </x:c>
      <x:c r="O7" s="8" t="n">
        <x:f>N7/M7</x:f>
        <x:v>4.046319336862906</x:v>
      </x:c>
    </x:row>
    <x:row r="8" ht="23" customHeight="1">
      <x:c r="A8" s="1" t="str">
        <x:v>MYSQL</x:v>
      </x:c>
      <x:c r="B8" s="8" t="n">
        <x:f>1/D6</x:f>
        <x:v>0.3333333333333333</x:v>
      </x:c>
      <x:c r="C8" s="8" t="n">
        <x:f>1/D7</x:f>
        <x:v>0.5</x:v>
      </x:c>
      <x:c r="D8" s="8" t="n">
        <x:v>1</x:v>
      </x:c>
      <x:c r="E8" s="9" t="n">
        <x:v>0.5</x:v>
      </x:c>
      <x:c r="F8" s="8"/>
      <x:c r="G8" s="8"/>
      <x:c r="H8" s="8"/>
      <x:c r="I8" s="8"/>
      <x:c r="J8" s="8"/>
      <x:c r="K8" s="8"/>
      <x:c r="L8" s="8" t="n">
        <x:f>GEOMEAN(B8:E8)</x:f>
        <x:v>0.537284965911771</x:v>
      </x:c>
      <x:c r="M8" s="8" t="n">
        <x:f>L8/SUM($L$6:$L$9)</x:f>
        <x:v>0.1251952390355543</x:v>
      </x:c>
      <x:c r="N8" s="8" t="n">
        <x:f>B8*$M$6+C8*$M$7+D8*$M$8+E8*$M$9</x:f>
        <x:v>0.501816361109084</x:v>
      </x:c>
      <x:c r="O8" s="8" t="n">
        <x:f>N8/M8</x:f>
        <x:v>4.008270322217068</x:v>
      </x:c>
    </x:row>
    <x:row r="9" ht="23" customHeight="1">
      <x:c r="A9" s="1" t="str">
        <x:v>PGMODELER</x:v>
      </x:c>
      <x:c r="B9" s="8" t="n">
        <x:f>1/E6</x:f>
        <x:v>1</x:v>
      </x:c>
      <x:c r="C9" s="8" t="n">
        <x:f>1/E7</x:f>
        <x:v>1</x:v>
      </x:c>
      <x:c r="D9" s="8" t="n">
        <x:f>1/E8</x:f>
        <x:v>2</x:v>
      </x:c>
      <x:c r="E9" s="8" t="n">
        <x:v>1</x:v>
      </x:c>
      <x:c r="F9" s="8"/>
      <x:c r="G9" s="8"/>
      <x:c r="H9" s="8"/>
      <x:c r="I9" s="8"/>
      <x:c r="J9" s="8"/>
      <x:c r="K9" s="8"/>
      <x:c r="L9" s="8" t="n">
        <x:f>GEOMEAN(B9:E9)</x:f>
        <x:v>1.189207115002721</x:v>
      </x:c>
      <x:c r="M9" s="8" t="n">
        <x:f>L9/SUM($L$6:$L$9)</x:f>
        <x:v>0.2771026149464157</x:v>
      </x:c>
      <x:c r="N9" s="8" t="n">
        <x:f>B9*$M$6+C9*$M$7+D9*$M$8+E9*$M$9</x:f>
        <x:v>1.1251952390355544</x:v>
      </x:c>
      <x:c r="O9" s="8" t="n">
        <x:f>N9/M9</x:f>
        <x:v>4.060572431816053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SUM(M6:M9)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AVERAGE(O6:O9)</x:f>
        <x:v>4.04569188924843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MAX(0,(M18-4)/(4-1))</x:f>
        <x:v>0.015230629749476718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0.9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0.01692292194386302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6" priority="1">
      <x:formula>M21&gt;0.1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OSDM</x:v>
      </x:c>
      <x:c r="C5" s="6" t="str">
        <x:v>DBEAVER</x:v>
      </x:c>
      <x:c r="D5" s="6" t="str">
        <x:v>MYSQL</x:v>
      </x:c>
      <x:c r="E5" s="6" t="str">
        <x:v>PGMODELER</x:v>
      </x:c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OSDM</x:v>
      </x:c>
      <x:c r="B6" s="8" t="n">
        <x:v>1</x:v>
      </x:c>
      <x:c r="C6" s="9" t="n">
        <x:v>0.5</x:v>
      </x:c>
      <x:c r="D6" s="9" t="n">
        <x:v>0.5</x:v>
      </x:c>
      <x:c r="E6" s="9" t="n">
        <x:v>1</x:v>
      </x:c>
      <x:c r="F6" s="8"/>
      <x:c r="G6" s="8"/>
      <x:c r="H6" s="8"/>
      <x:c r="I6" s="8"/>
      <x:c r="J6" s="8"/>
      <x:c r="K6" s="8"/>
      <x:c r="L6" s="8" t="n">
        <x:f>GEOMEAN(B6:E6)</x:f>
        <x:v>0.7071067811865475</x:v>
      </x:c>
      <x:c r="M6" s="8" t="n">
        <x:f>L6/SUM($L$6:$L$9)</x:f>
        <x:v>0.17307628066273054</x:v>
      </x:c>
      <x:c r="N6" s="8" t="n">
        <x:f>B6*$M$6+C6*$M$7+D6*$M$8+E6*$M$9</x:f>
        <x:v>0.7089215520505282</x:v>
      </x:c>
      <x:c r="O6" s="8" t="n">
        <x:f>N6/M6</x:f>
        <x:v>4.096006392880525</x:v>
      </x:c>
    </x:row>
    <x:row r="7" ht="23" customHeight="1">
      <x:c r="A7" s="1" t="str">
        <x:v>DBEAVER</x:v>
      </x:c>
      <x:c r="B7" s="8" t="n">
        <x:f>1/C6</x:f>
        <x:v>2</x:v>
      </x:c>
      <x:c r="C7" s="8" t="n">
        <x:v>1</x:v>
      </x:c>
      <x:c r="D7" s="9" t="n">
        <x:v>1</x:v>
      </x:c>
      <x:c r="E7" s="9" t="n">
        <x:v>1</x:v>
      </x:c>
      <x:c r="F7" s="8"/>
      <x:c r="G7" s="8"/>
      <x:c r="H7" s="8"/>
      <x:c r="I7" s="8"/>
      <x:c r="J7" s="8"/>
      <x:c r="K7" s="8"/>
      <x:c r="L7" s="8" t="n">
        <x:f>GEOMEAN(B7:E7)</x:f>
        <x:v>1.189207115002721</x:v>
      </x:c>
      <x:c r="M7" s="8" t="n">
        <x:f>L7/SUM($L$6:$L$9)</x:f>
        <x:v>0.29107844794947185</x:v>
      </x:c>
      <x:c r="N7" s="8" t="n">
        <x:f>B7*$M$6+C7*$M$7+D7*$M$8+E7*$M$9</x:f>
        <x:v>1.1730762806627306</x:v>
      </x:c>
      <x:c r="O7" s="8" t="n">
        <x:f>N7/M7</x:f>
        <x:v>4.030103530256436</x:v>
      </x:c>
    </x:row>
    <x:row r="8" ht="23" customHeight="1">
      <x:c r="A8" s="1" t="str">
        <x:v>MYSQL</x:v>
      </x:c>
      <x:c r="B8" s="8" t="n">
        <x:f>1/D6</x:f>
        <x:v>2</x:v>
      </x:c>
      <x:c r="C8" s="8" t="n">
        <x:f>1/D7</x:f>
        <x:v>1</x:v>
      </x:c>
      <x:c r="D8" s="8" t="n">
        <x:v>1</x:v>
      </x:c>
      <x:c r="E8" s="9" t="n">
        <x:v>1</x:v>
      </x:c>
      <x:c r="F8" s="8"/>
      <x:c r="G8" s="8"/>
      <x:c r="H8" s="8"/>
      <x:c r="I8" s="8"/>
      <x:c r="J8" s="8"/>
      <x:c r="K8" s="8"/>
      <x:c r="L8" s="8" t="n">
        <x:f>GEOMEAN(B8:E8)</x:f>
        <x:v>1.189207115002721</x:v>
      </x:c>
      <x:c r="M8" s="8" t="n">
        <x:f>L8/SUM($L$6:$L$9)</x:f>
        <x:v>0.29107844794947185</x:v>
      </x:c>
      <x:c r="N8" s="8" t="n">
        <x:f>B8*$M$6+C8*$M$7+D8*$M$8+E8*$M$9</x:f>
        <x:v>1.1730762806627306</x:v>
      </x:c>
      <x:c r="O8" s="8" t="n">
        <x:f>N8/M8</x:f>
        <x:v>4.030103530256436</x:v>
      </x:c>
    </x:row>
    <x:row r="9" ht="23" customHeight="1">
      <x:c r="A9" s="1" t="str">
        <x:v>PGMODELER</x:v>
      </x:c>
      <x:c r="B9" s="8" t="n">
        <x:f>1/E6</x:f>
        <x:v>1</x:v>
      </x:c>
      <x:c r="C9" s="8" t="n">
        <x:f>1/E7</x:f>
        <x:v>1</x:v>
      </x:c>
      <x:c r="D9" s="8" t="n">
        <x:f>1/E8</x:f>
        <x:v>1</x:v>
      </x:c>
      <x:c r="E9" s="8" t="n">
        <x:v>1</x:v>
      </x:c>
      <x:c r="F9" s="8"/>
      <x:c r="G9" s="8"/>
      <x:c r="H9" s="8"/>
      <x:c r="I9" s="8"/>
      <x:c r="J9" s="8"/>
      <x:c r="K9" s="8"/>
      <x:c r="L9" s="8" t="n">
        <x:f>GEOMEAN(B9:E9)</x:f>
        <x:v>1</x:v>
      </x:c>
      <x:c r="M9" s="8" t="n">
        <x:f>L9/SUM($L$6:$L$9)</x:f>
        <x:v>0.24476682343832581</x:v>
      </x:c>
      <x:c r="N9" s="8" t="n">
        <x:f>B9*$M$6+C9*$M$7+D9*$M$8+E9*$M$9</x:f>
        <x:v>1</x:v>
      </x:c>
      <x:c r="O9" s="8" t="n">
        <x:f>N9/M9</x:f>
        <x:v>4.0855210111919895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SUM(M6:M9)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AVERAGE(O6:O9)</x:f>
        <x:v>4.060433616146346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MAX(0,(M18-4)/(4-1))</x:f>
        <x:v>0.020144538715448707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0.9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0.02238282079494301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7" priority="1">
      <x:formula>M21&gt;0.1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K8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OSDM</x:v>
      </x:c>
      <x:c r="C5" s="6" t="str">
        <x:v>DBEAVER</x:v>
      </x:c>
      <x:c r="D5" s="6" t="str">
        <x:v>MYSQL</x:v>
      </x:c>
      <x:c r="E5" s="6" t="str">
        <x:v>PGMODELER</x:v>
      </x:c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OSDM</x:v>
      </x:c>
      <x:c r="B6" s="8" t="n">
        <x:v>1</x:v>
      </x:c>
      <x:c r="C6" s="9" t="n">
        <x:v>1</x:v>
      </x:c>
      <x:c r="D6" s="9" t="n">
        <x:v>1</x:v>
      </x:c>
      <x:c r="E6" s="9" t="n">
        <x:v>0.5</x:v>
      </x:c>
      <x:c r="F6" s="8"/>
      <x:c r="G6" s="8"/>
      <x:c r="H6" s="8"/>
      <x:c r="I6" s="8"/>
      <x:c r="J6" s="8"/>
      <x:c r="K6" s="8"/>
      <x:c r="L6" s="8" t="n">
        <x:f>GEOMEAN(B6:E6)</x:f>
        <x:v>0.8408964152537146</x:v>
      </x:c>
      <x:c r="M6" s="8" t="n">
        <x:f>L6/SUM($L$6:$L$9)</x:f>
        <x:v>0.20710678118654754</x:v>
      </x:c>
      <x:c r="N6" s="8" t="n">
        <x:f>B6*$M$6+C6*$M$7+D6*$M$8+E6*$M$9</x:f>
        <x:v>0.8535533905932738</x:v>
      </x:c>
      <x:c r="O6" s="8" t="n">
        <x:f>N6/M6</x:f>
        <x:v>4.121320343559643</x:v>
      </x:c>
    </x:row>
    <x:row r="7" ht="23" customHeight="1">
      <x:c r="A7" s="1" t="str">
        <x:v>DBEAVER</x:v>
      </x:c>
      <x:c r="B7" s="8" t="n">
        <x:f>1/C6</x:f>
        <x:v>1</x:v>
      </x:c>
      <x:c r="C7" s="8" t="n">
        <x:v>1</x:v>
      </x:c>
      <x:c r="D7" s="9" t="n">
        <x:v>2</x:v>
      </x:c>
      <x:c r="E7" s="9" t="n">
        <x:v>1</x:v>
      </x:c>
      <x:c r="F7" s="8"/>
      <x:c r="G7" s="8"/>
      <x:c r="H7" s="8"/>
      <x:c r="I7" s="8"/>
      <x:c r="J7" s="8"/>
      <x:c r="K7" s="8"/>
      <x:c r="L7" s="8" t="n">
        <x:f>GEOMEAN(B7:E7)</x:f>
        <x:v>1.189207115002721</x:v>
      </x:c>
      <x:c r="M7" s="8" t="n">
        <x:f>L7/SUM($L$6:$L$9)</x:f>
        <x:v>0.2928932188134525</x:v>
      </x:c>
      <x:c r="N7" s="8" t="n">
        <x:f>B7*$M$6+C7*$M$7+D7*$M$8+E7*$M$9</x:f>
        <x:v>1.2071067811865477</x:v>
      </x:c>
      <x:c r="O7" s="8" t="n">
        <x:f>N7/M7</x:f>
        <x:v>4.121320343559643</x:v>
      </x:c>
    </x:row>
    <x:row r="8" ht="23" customHeight="1">
      <x:c r="A8" s="1" t="str">
        <x:v>MYSQL</x:v>
      </x:c>
      <x:c r="B8" s="8" t="n">
        <x:f>1/D6</x:f>
        <x:v>1</x:v>
      </x:c>
      <x:c r="C8" s="8" t="n">
        <x:f>1/D7</x:f>
        <x:v>0.5</x:v>
      </x:c>
      <x:c r="D8" s="8" t="n">
        <x:v>1</x:v>
      </x:c>
      <x:c r="E8" s="9" t="n">
        <x:v>1</x:v>
      </x:c>
      <x:c r="F8" s="8"/>
      <x:c r="G8" s="8"/>
      <x:c r="H8" s="8"/>
      <x:c r="I8" s="8"/>
      <x:c r="J8" s="8"/>
      <x:c r="K8" s="8"/>
      <x:c r="L8" s="8" t="n">
        <x:f>GEOMEAN(B8:E8)</x:f>
        <x:v>0.8408964152537146</x:v>
      </x:c>
      <x:c r="M8" s="8" t="n">
        <x:f>L8/SUM($L$6:$L$9)</x:f>
        <x:v>0.20710678118654754</x:v>
      </x:c>
      <x:c r="N8" s="8" t="n">
        <x:f>B8*$M$6+C8*$M$7+D8*$M$8+E8*$M$9</x:f>
        <x:v>0.8535533905932737</x:v>
      </x:c>
      <x:c r="O8" s="8" t="n">
        <x:f>N8/M8</x:f>
        <x:v>4.121320343559642</x:v>
      </x:c>
    </x:row>
    <x:row r="9" ht="23" customHeight="1">
      <x:c r="A9" s="1" t="str">
        <x:v>PGMODELER</x:v>
      </x:c>
      <x:c r="B9" s="8" t="n">
        <x:f>1/E6</x:f>
        <x:v>2</x:v>
      </x:c>
      <x:c r="C9" s="8" t="n">
        <x:f>1/E7</x:f>
        <x:v>1</x:v>
      </x:c>
      <x:c r="D9" s="8" t="n">
        <x:f>1/E8</x:f>
        <x:v>1</x:v>
      </x:c>
      <x:c r="E9" s="8" t="n">
        <x:v>1</x:v>
      </x:c>
      <x:c r="F9" s="8"/>
      <x:c r="G9" s="8"/>
      <x:c r="H9" s="8"/>
      <x:c r="I9" s="8"/>
      <x:c r="J9" s="8"/>
      <x:c r="K9" s="8"/>
      <x:c r="L9" s="8" t="n">
        <x:f>GEOMEAN(B9:E9)</x:f>
        <x:v>1.189207115002721</x:v>
      </x:c>
      <x:c r="M9" s="8" t="n">
        <x:f>L9/SUM($L$6:$L$9)</x:f>
        <x:v>0.2928932188134525</x:v>
      </x:c>
      <x:c r="N9" s="8" t="n">
        <x:f>B9*$M$6+C9*$M$7+D9*$M$8+E9*$M$9</x:f>
        <x:v>1.2071067811865477</x:v>
      </x:c>
      <x:c r="O9" s="8" t="n">
        <x:f>N9/M9</x:f>
        <x:v>4.121320343559643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SUM(M6:M9)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AVERAGE(O6:O9)</x:f>
        <x:v>4.121320343559643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MAX(0,(M18-4)/(4-1))</x:f>
        <x:v>0.04044011451988094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0.9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0.04493346057764549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8" priority="1">
      <x:formula>M21&gt;0.1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2" hidden="0" customWidth="1"/>
    <x:col min="8" max="8" width="9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Testy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Test</x:v>
      </x:c>
      <x:c r="B5" s="6" t="str">
        <x:v>Kritérium</x:v>
      </x:c>
      <x:c r="C5" s="6" t="str">
        <x:v>OSDM</x:v>
      </x:c>
      <x:c r="D5" s="6" t="str">
        <x:v>DBEAVER</x:v>
      </x:c>
      <x:c r="E5" s="6" t="str">
        <x:v>MYSQL</x:v>
      </x:c>
      <x:c r="F5" s="6" t="str">
        <x:v>PGMODELER</x:v>
      </x:c>
      <x:c r="G5" s="6" t="str">
        <x:v>Stav</x:v>
      </x:c>
      <x:c r="H5" s="6" t="str">
        <x:v>Postup / očekávání</x:v>
      </x:c>
      <x:c r="I5" s="1"/>
      <x:c r="J5" s="1"/>
      <x:c r="K5" s="1"/>
      <x:c r="L5" s="1"/>
      <x:c r="M5" s="1"/>
      <x:c r="N5" s="1"/>
      <x:c r="O5" s="1"/>
    </x:row>
    <x:row r="6" ht="64" customHeight="1">
      <x:c r="A6" s="11" t="str">
        <x:v>1.1 – Založení prázdného modelu nebo diagramu (Krok 1 – vytvoření struktury)</x:v>
      </x:c>
      <x:c r="B6" s="1" t="str">
        <x:v>K1</x:v>
      </x:c>
      <x:c r="C6" s="7" t="n">
        <x:v>3</x:v>
      </x:c>
      <x:c r="D6" s="7" t="n">
        <x:v>5</x:v>
      </x:c>
      <x:c r="E6" s="7" t="n">
        <x:v>2</x:v>
      </x:c>
      <x:c r="F6" s="7" t="n">
        <x:v>2</x:v>
      </x:c>
      <x:c r="G6" s="11" t="str">
        <x:v>SYNTETICKÉ – test neproveden; bez důkazu</x:v>
      </x:c>
      <x:c r="H6" s="11" t="str">
        <x:v>Otevři nový projekt/model a prázdný ER diagram. Ulož jej, zavři a znovu otevři. Zatím nepoužívej import SQL ani existující databázi. | Samostatný model lze uložit bez DB. Pokud edice offline model neumí, zapiš omezení a pro další úkony použij prázdné testovací schéma a dostupný editor tabulek. Tento DB-first postup výslovně rozlišuj.</x:v>
      </x:c>
      <x:c r="I6" s="1"/>
      <x:c r="J6" s="1"/>
      <x:c r="K6" s="1"/>
      <x:c r="L6" s="1"/>
      <x:c r="M6" s="1"/>
      <x:c r="N6" s="1"/>
      <x:c r="O6" s="1"/>
    </x:row>
    <x:row r="7" ht="64" customHeight="1">
      <x:c r="A7" s="11" t="str">
        <x:v>1.2 – Model-first bez živé databáze (Krok 1 – vytvoření struktury)</x:v>
      </x:c>
      <x:c r="B7" s="1" t="str">
        <x:v>K1</x:v>
      </x:c>
      <x:c r="C7" s="7" t="n">
        <x:v>5</x:v>
      </x:c>
      <x:c r="D7" s="7" t="n">
        <x:v>3</x:v>
      </x:c>
      <x:c r="E7" s="7" t="n">
        <x:v>1</x:v>
      </x:c>
      <x:c r="F7" s="7" t="n">
        <x:v>2</x:v>
      </x:c>
      <x:c r="G7" s="11" t="str">
        <x:v>SYNTETICKÉ – test neproveden; bez důkazu</x:v>
      </x:c>
      <x:c r="H7" s="11" t="str">
        <x:v>Odpoj databázi a zkus v modelu vytvořit tabulku zkouska se sloupcem id INT. Pak zkušební tabulku odstraň. | Tabulka se vytvoří a uloží bez živé DB = model-first. Pokud je nutná DB, zapiš DB-first a skutečný postup. Neschopnost samostatného modelu nepřepisuj jako úspěch model-first.</x:v>
      </x:c>
      <x:c r="I7" s="1"/>
      <x:c r="J7" s="1"/>
      <x:c r="K7" s="1"/>
      <x:c r="L7" s="1"/>
      <x:c r="M7" s="1"/>
      <x:c r="N7" s="1"/>
      <x:c r="O7" s="1"/>
    </x:row>
    <x:row r="8" ht="64" customHeight="1">
      <x:c r="A8" s="11" t="str">
        <x:v>1.3 – Vytvoření všech 11 tabulek (Krok 1 – vytvoření struktury)</x:v>
      </x:c>
      <x:c r="B8" s="1" t="str">
        <x:v>K1</x:v>
      </x:c>
      <x:c r="C8" s="7" t="n">
        <x:v>1</x:v>
      </x:c>
      <x:c r="D8" s="7" t="n">
        <x:v>2</x:v>
      </x:c>
      <x:c r="E8" s="7" t="n">
        <x:v>1</x:v>
      </x:c>
      <x:c r="F8" s="7" t="n">
        <x:v>1</x:v>
      </x:c>
      <x:c r="G8" s="11" t="str">
        <x:v>SYNTETICKÉ – test neproveden; bez důkazu</x:v>
      </x:c>
      <x:c r="H8" s="11" t="str">
        <x:v>Vytvoř 11 tabulek podle následujících bodů 1.3a–1.3k. Použij stejné názvy ve všech nástrojích. Klíče a omezení potom nastav podle dalších testů. | V modelu je přesně 11 tabulek. Původní známka tohoto bodu se vztahuje k dřívějšímu zadání 10 tabulek. Po rozšíření ji znovu posuď. Podrobný slovník je také v listu Model a pravidla.</x:v>
      </x:c>
      <x:c r="I8" s="1"/>
      <x:c r="J8" s="1"/>
      <x:c r="K8" s="1"/>
      <x:c r="L8" s="1"/>
      <x:c r="M8" s="1"/>
      <x:c r="N8" s="1"/>
      <x:c r="O8" s="1"/>
    </x:row>
    <x:row r="9" ht="64" customHeight="1">
      <x:c r="A9" s="11" t="str">
        <x:v>1.3a – Vytvořit zakaznik</x:v>
      </x:c>
      <x:c r="B9" s="1" t="str">
        <x:v>K1</x:v>
      </x:c>
      <x:c r="C9" s="7" t="n">
        <x:v>2</x:v>
      </x:c>
      <x:c r="D9" s="7" t="n">
        <x:v>2</x:v>
      </x:c>
      <x:c r="E9" s="7" t="n">
        <x:v>2</x:v>
      </x:c>
      <x:c r="F9" s="7" t="n">
        <x:v>5</x:v>
      </x:c>
      <x:c r="G9" s="11" t="str">
        <x:v>SYNTETICKÉ – test neproveden; bez důkazu</x:v>
      </x:c>
      <x:c r="H9" s="11" t="str">
        <x:v>Vytvoř tabulku zakaznik a sloupce:
id_zakaznik : INT; NOT NULL
jmeno : VARCHAR(50); NOT NULL
prijmeni : VARCHAR(50); NOT NULL
telefon : VARCHAR(20); NULL povolen
email : VARCHAR(100); NULL povolen
adresa : VARCHAR(200); NULL povolen
datum_registrace : DATE; NOT NULL | Přesné názvy a typy podle zadání. PK, FK, UNIQUE, DEFAULT a CHECK nastav v dalších bodech. Typ přizpůsob cílové DB podle Model a pravidla. Nevytvářej nevyžádané sloupce.</x:v>
      </x:c>
      <x:c r="I9" s="1"/>
      <x:c r="J9" s="1"/>
      <x:c r="K9" s="1"/>
      <x:c r="L9" s="1"/>
      <x:c r="M9" s="1"/>
      <x:c r="N9" s="1"/>
      <x:c r="O9" s="1"/>
    </x:row>
    <x:row r="10" ht="64" customHeight="1">
      <x:c r="A10" s="11" t="str">
        <x:v>1.3b – Vytvořit zamestnanec</x:v>
      </x:c>
      <x:c r="B10" s="1" t="str">
        <x:v>K1</x:v>
      </x:c>
      <x:c r="C10" s="7" t="n">
        <x:v>3</x:v>
      </x:c>
      <x:c r="D10" s="7" t="n">
        <x:v>5</x:v>
      </x:c>
      <x:c r="E10" s="7" t="n">
        <x:v>4</x:v>
      </x:c>
      <x:c r="F10" s="7" t="n">
        <x:v>4</x:v>
      </x:c>
      <x:c r="G10" s="11" t="str">
        <x:v>SYNTETICKÉ – test neproveden; bez důkazu</x:v>
      </x:c>
      <x:c r="H10" s="11" t="str">
        <x:v>Vytvoř tabulku zamestnanec a sloupce:
id_zamestnanec : INT; NOT NULL
jmeno : VARCHAR(50); NOT NULL
prijmeni : VARCHAR(50); NOT NULL
pozice : VARCHAR(30); NOT NULL
telefon : VARCHAR(20); NULL povolen
datum_nastupu : DATE; NOT NULL | Přesné názvy a typy podle zadání. PK, FK, UNIQUE, DEFAULT a CHECK nastav v dalších bodech. Typ přizpůsob cílové DB podle Model a pravidla. Nevytvářej nevyžádané sloupce.</x:v>
      </x:c>
      <x:c r="I10" s="1"/>
      <x:c r="J10" s="1"/>
      <x:c r="K10" s="1"/>
      <x:c r="L10" s="1"/>
      <x:c r="M10" s="1"/>
      <x:c r="N10" s="1"/>
      <x:c r="O10" s="1"/>
    </x:row>
    <x:row r="11" ht="64" customHeight="1">
      <x:c r="A11" s="11" t="str">
        <x:v>1.3c – Vytvořit dodavatel</x:v>
      </x:c>
      <x:c r="B11" s="1" t="str">
        <x:v>K1</x:v>
      </x:c>
      <x:c r="C11" s="7" t="n">
        <x:v>2</x:v>
      </x:c>
      <x:c r="D11" s="7" t="n">
        <x:v>5</x:v>
      </x:c>
      <x:c r="E11" s="7" t="n">
        <x:v>1</x:v>
      </x:c>
      <x:c r="F11" s="7" t="n">
        <x:v>3</x:v>
      </x:c>
      <x:c r="G11" s="11" t="str">
        <x:v>SYNTETICKÉ – test neproveden; bez důkazu</x:v>
      </x:c>
      <x:c r="H11" s="11" t="str">
        <x:v>Vytvoř tabulku dodavatel a sloupce:
id_dodavatel : INT; NOT NULL
nazev : VARCHAR(100); NOT NULL
kontaktni_osoba : VARCHAR(100); NULL povolen
telefon : VARCHAR(20); NULL povolen
email : VARCHAR(100); NULL povolen | Přesné názvy a typy podle zadání. PK, FK, UNIQUE, DEFAULT a CHECK nastav v dalších bodech. Typ přizpůsob cílové DB podle Model a pravidla. Nevytvářej nevyžádané sloupce.</x:v>
      </x:c>
      <x:c r="I11" s="1"/>
      <x:c r="J11" s="1"/>
      <x:c r="K11" s="1"/>
      <x:c r="L11" s="1"/>
      <x:c r="M11" s="1"/>
      <x:c r="N11" s="1"/>
      <x:c r="O11" s="1"/>
    </x:row>
    <x:row r="12" ht="64" customHeight="1">
      <x:c r="A12" s="11" t="str">
        <x:v>1.3d – Vytvořit kolo</x:v>
      </x:c>
      <x:c r="B12" s="1" t="str">
        <x:v>K1</x:v>
      </x:c>
      <x:c r="C12" s="7" t="n">
        <x:v>4</x:v>
      </x:c>
      <x:c r="D12" s="7" t="n">
        <x:v>5</x:v>
      </x:c>
      <x:c r="E12" s="7" t="n">
        <x:v>2</x:v>
      </x:c>
      <x:c r="F12" s="7" t="n">
        <x:v>5</x:v>
      </x:c>
      <x:c r="G12" s="11" t="str">
        <x:v>SYNTETICKÉ – test neproveden; bez důkazu</x:v>
      </x:c>
      <x:c r="H12" s="11" t="str">
        <x:v>Vytvoř tabulku kolo a sloupce:
id_kolo : INT; NOT NULL
id_zakaznik : INT; NOT NULL
znacka : VARCHAR(50); NOT NULL
model : VARCHAR(50); NULL povolen
typ : VARCHAR(30); NULL povolen
rok_vyroby : SMALLINT; NULL povolen
seriove_cislo : VARCHAR(50); NULL povolen | Přesné názvy a typy podle zadání. PK, FK, UNIQUE, DEFAULT a CHECK nastav v dalších bodech. Typ přizpůsob cílové DB podle Model a pravidla. Nevytvářej nevyžádané sloupce.</x:v>
      </x:c>
      <x:c r="I12" s="1"/>
      <x:c r="J12" s="1"/>
      <x:c r="K12" s="1"/>
      <x:c r="L12" s="1"/>
      <x:c r="M12" s="1"/>
      <x:c r="N12" s="1"/>
      <x:c r="O12" s="1"/>
    </x:row>
    <x:row r="13" ht="64" customHeight="1">
      <x:c r="A13" s="11" t="str">
        <x:v>1.3e – Vytvořit elektrokolo</x:v>
      </x:c>
      <x:c r="B13" s="1" t="str">
        <x:v>K1</x:v>
      </x:c>
      <x:c r="C13" s="7" t="n">
        <x:v>2</x:v>
      </x:c>
      <x:c r="D13" s="7" t="n">
        <x:v>5</x:v>
      </x:c>
      <x:c r="E13" s="7" t="n">
        <x:v>2</x:v>
      </x:c>
      <x:c r="F13" s="7" t="n">
        <x:v>4</x:v>
      </x:c>
      <x:c r="G13" s="11" t="str">
        <x:v>SYNTETICKÉ – test neproveden; bez důkazu</x:v>
      </x:c>
      <x:c r="H13" s="11" t="str">
        <x:v>Vytvoř tabulku elektrokolo a sloupce:
id_kolo : INT; NOT NULL
vyrobce_motoru : VARCHAR(80); NOT NULL
vykon_motoru_w : INT; NOT NULL
kapacita_baterie_wh : DECIMAL(8,2); NOT NULL | Přesné názvy a typy podle zadání. PK, FK, UNIQUE, DEFAULT a CHECK nastav v dalších bodech. Typ přizpůsob cílové DB podle Model a pravidla. Nevytvářej nevyžádané sloupce.</x:v>
      </x:c>
      <x:c r="I13" s="1"/>
      <x:c r="J13" s="1"/>
      <x:c r="K13" s="1"/>
      <x:c r="L13" s="1"/>
      <x:c r="M13" s="1"/>
      <x:c r="N13" s="1"/>
      <x:c r="O13" s="1"/>
    </x:row>
    <x:row r="14" ht="64" customHeight="1">
      <x:c r="A14" s="11" t="str">
        <x:v>1.3f – Vytvořit sluzba</x:v>
      </x:c>
      <x:c r="B14" s="1" t="str">
        <x:v>K1</x:v>
      </x:c>
      <x:c r="C14" s="7" t="n">
        <x:v>4</x:v>
      </x:c>
      <x:c r="D14" s="7" t="n">
        <x:v>1</x:v>
      </x:c>
      <x:c r="E14" s="7" t="n">
        <x:v>1</x:v>
      </x:c>
      <x:c r="F14" s="7" t="n">
        <x:v>1</x:v>
      </x:c>
      <x:c r="G14" s="11" t="str">
        <x:v>SYNTETICKÉ – test neproveden; bez důkazu</x:v>
      </x:c>
      <x:c r="H14" s="11" t="str">
        <x:v>Vytvoř tabulku sluzba a sloupce:
id_sluzba : INT; NOT NULL
nazev : VARCHAR(100); NOT NULL
popis : VARCHAR(300); NULL povolen
cena_zakladni : DECIMAL(10,2); NOT NULL
odhad_doby_min : INT; NULL povolen | Přesné názvy a typy podle zadání. PK, FK, UNIQUE, DEFAULT a CHECK nastav v dalších bodech. Typ přizpůsob cílové DB podle Model a pravidla. Nevytvářej nevyžádané sloupce.</x:v>
      </x:c>
      <x:c r="I14" s="1"/>
      <x:c r="J14" s="1"/>
      <x:c r="K14" s="1"/>
      <x:c r="L14" s="1"/>
      <x:c r="M14" s="1"/>
      <x:c r="N14" s="1"/>
      <x:c r="O14" s="1"/>
    </x:row>
    <x:row r="15" ht="64" customHeight="1">
      <x:c r="A15" s="11" t="str">
        <x:v>1.3g – Vytvořit dil</x:v>
      </x:c>
      <x:c r="B15" s="1" t="str">
        <x:v>K1</x:v>
      </x:c>
      <x:c r="C15" s="7" t="n">
        <x:v>4</x:v>
      </x:c>
      <x:c r="D15" s="7" t="n">
        <x:v>5</x:v>
      </x:c>
      <x:c r="E15" s="7" t="n">
        <x:v>4</x:v>
      </x:c>
      <x:c r="F15" s="7" t="n">
        <x:v>2</x:v>
      </x:c>
      <x:c r="G15" s="11" t="str">
        <x:v>SYNTETICKÉ – test neproveden; bez důkazu</x:v>
      </x:c>
      <x:c r="H15" s="11" t="str">
        <x:v>Vytvoř tabulku dil a sloupce:
id_dil : INT; NOT NULL
nazev : VARCHAR(100); NOT NULL
cena_prodejni : DECIMAL(10,2); NOT NULL
mnozstvi_sklad : INT; NOT NULL
id_dodavatel : INT; NULL povolen | Přesné názvy a typy podle zadání. PK, FK, UNIQUE, DEFAULT a CHECK nastav v dalších bodech. Typ přizpůsob cílové DB podle Model a pravidla. Nevytvářej nevyžádané sloupce.</x:v>
      </x:c>
      <x:c r="I15" s="1"/>
      <x:c r="J15" s="1"/>
      <x:c r="K15" s="1"/>
      <x:c r="L15" s="1"/>
      <x:c r="M15" s="1"/>
      <x:c r="N15" s="1"/>
      <x:c r="O15" s="1"/>
    </x:row>
    <x:row r="16" ht="64" customHeight="1">
      <x:c r="A16" s="11" t="str">
        <x:v>1.3h – Vytvořit zakazka</x:v>
      </x:c>
      <x:c r="B16" s="1" t="str">
        <x:v>K1</x:v>
      </x:c>
      <x:c r="C16" s="7" t="n">
        <x:v>3</x:v>
      </x:c>
      <x:c r="D16" s="7" t="n">
        <x:v>2</x:v>
      </x:c>
      <x:c r="E16" s="7" t="n">
        <x:v>4</x:v>
      </x:c>
      <x:c r="F16" s="7" t="n">
        <x:v>1</x:v>
      </x:c>
      <x:c r="G16" s="11" t="str">
        <x:v>SYNTETICKÉ – test neproveden; bez důkazu</x:v>
      </x:c>
      <x:c r="H16" s="11" t="str">
        <x:v>Vytvoř tabulku zakazka a sloupce:
id_zakazka : INT; NOT NULL
id_kolo : INT; NOT NULL
id_zamestnanec : INT; NULL povolen
datum_prijeti : TIMESTAMP; NOT NULL
datum_dokonceni : TIMESTAMP; NULL povolen
stav : VARCHAR(20); NOT NULL
poznamka : VARCHAR(500); NULL povolen | Přesné názvy a typy podle zadání. PK, FK, UNIQUE, DEFAULT a CHECK nastav v dalších bodech. Typ přizpůsob cílové DB podle Model a pravidla. Nevytvářej nevyžádané sloupce.</x:v>
      </x:c>
      <x:c r="I16" s="1"/>
      <x:c r="J16" s="1"/>
      <x:c r="K16" s="1"/>
      <x:c r="L16" s="1"/>
      <x:c r="M16" s="1"/>
      <x:c r="N16" s="1"/>
      <x:c r="O16" s="1"/>
    </x:row>
    <x:row r="17" ht="64" customHeight="1">
      <x:c r="A17" s="11" t="str">
        <x:v>1.3i – Vytvořit zakazka_sluzba</x:v>
      </x:c>
      <x:c r="B17" s="1" t="str">
        <x:v>K1</x:v>
      </x:c>
      <x:c r="C17" s="7" t="n">
        <x:v>4</x:v>
      </x:c>
      <x:c r="D17" s="7" t="n">
        <x:v>4</x:v>
      </x:c>
      <x:c r="E17" s="7" t="n">
        <x:v>3</x:v>
      </x:c>
      <x:c r="F17" s="7" t="n">
        <x:v>5</x:v>
      </x:c>
      <x:c r="G17" s="11" t="str">
        <x:v>SYNTETICKÉ – test neproveden; bez důkazu</x:v>
      </x:c>
      <x:c r="H17" s="11" t="str">
        <x:v>Vytvoř tabulku zakazka_sluzba a sloupce:
id_zakazka : INT; NOT NULL
id_sluzba : INT; NOT NULL
mnozstvi : INT; NOT NULL
cena_za_jednotku : DECIMAL(10,2); NOT NULL | Přesné názvy a typy podle zadání. PK, FK, UNIQUE, DEFAULT a CHECK nastav v dalších bodech. Typ přizpůsob cílové DB podle Model a pravidla. Nevytvářej nevyžádané sloupce.</x:v>
      </x:c>
      <x:c r="I17" s="1"/>
      <x:c r="J17" s="1"/>
      <x:c r="K17" s="1"/>
      <x:c r="L17" s="1"/>
      <x:c r="M17" s="1"/>
      <x:c r="N17" s="1"/>
      <x:c r="O17" s="1"/>
    </x:row>
    <x:row r="18" ht="64" customHeight="1">
      <x:c r="A18" s="11" t="str">
        <x:v>1.3j – Vytvořit zakazka_dil</x:v>
      </x:c>
      <x:c r="B18" s="1" t="str">
        <x:v>K1</x:v>
      </x:c>
      <x:c r="C18" s="7" t="n">
        <x:v>5</x:v>
      </x:c>
      <x:c r="D18" s="7" t="n">
        <x:v>4</x:v>
      </x:c>
      <x:c r="E18" s="7" t="n">
        <x:v>1</x:v>
      </x:c>
      <x:c r="F18" s="7" t="n">
        <x:v>2</x:v>
      </x:c>
      <x:c r="G18" s="11" t="str">
        <x:v>SYNTETICKÉ – test neproveden; bez důkazu</x:v>
      </x:c>
      <x:c r="H18" s="11" t="str">
        <x:v>Vytvoř tabulku zakazka_dil a sloupce:
id_zakazka : INT; NOT NULL
id_dil : INT; NOT NULL
mnozstvi : INT; NOT NULL
cena_za_jednotku : DECIMAL(10,2); NOT NULL | Přesné názvy a typy podle zadání. PK, FK, UNIQUE, DEFAULT a CHECK nastav v dalších bodech. Typ přizpůsob cílové DB podle Model a pravidla. Nevytvářej nevyžádané sloupce.</x:v>
      </x:c>
      <x:c r="I18" s="1"/>
      <x:c r="J18" s="1"/>
      <x:c r="K18" s="1"/>
      <x:c r="L18" s="1"/>
      <x:c r="M18" s="1"/>
      <x:c r="N18" s="1"/>
      <x:c r="O18" s="1"/>
    </x:row>
    <x:row r="19" ht="64" customHeight="1">
      <x:c r="A19" s="11" t="str">
        <x:v>1.3k – Vytvořit faktura</x:v>
      </x:c>
      <x:c r="B19" s="1" t="str">
        <x:v>K1</x:v>
      </x:c>
      <x:c r="C19" s="7" t="n">
        <x:v>5</x:v>
      </x:c>
      <x:c r="D19" s="7" t="n">
        <x:v>1</x:v>
      </x:c>
      <x:c r="E19" s="7" t="n">
        <x:v>4</x:v>
      </x:c>
      <x:c r="F19" s="7" t="n">
        <x:v>1</x:v>
      </x:c>
      <x:c r="G19" s="11" t="str">
        <x:v>SYNTETICKÉ – test neproveden; bez důkazu</x:v>
      </x:c>
      <x:c r="H19" s="11" t="str">
        <x:v>Vytvoř tabulku faktura a sloupce:
id_faktura : INT; NOT NULL
id_zakazka : INT; NOT NULL
datum_vystaveni : DATE; NOT NULL
castka_celkem : DECIMAL(10,2); NOT NULL
zpusob_platby : VARCHAR(20); NOT NULL
stav_platby : VARCHAR(20); NOT NULL | Přesné názvy a typy podle zadání. PK, FK, UNIQUE, DEFAULT a CHECK nastav v dalších bodech. Typ přizpůsob cílové DB podle Model a pravidla. Nevytvářej nevyžádané sloupce.</x:v>
      </x:c>
      <x:c r="I19" s="1"/>
      <x:c r="J19" s="1"/>
      <x:c r="K19" s="1"/>
      <x:c r="L19" s="1"/>
      <x:c r="M19" s="1"/>
      <x:c r="N19" s="1"/>
      <x:c r="O19" s="1"/>
    </x:row>
    <x:row r="20" ht="64" customHeight="1">
      <x:c r="A20" s="11" t="str">
        <x:v>1.4 – Primární klíče a automatické číslování (Krok 1 – vytvoření struktury)</x:v>
      </x:c>
      <x:c r="B20" s="1" t="str">
        <x:v>K1</x:v>
      </x:c>
      <x:c r="C20" s="7" t="n">
        <x:v>1</x:v>
      </x:c>
      <x:c r="D20" s="7" t="n">
        <x:v>1</x:v>
      </x:c>
      <x:c r="E20" s="7" t="n">
        <x:v>2</x:v>
      </x:c>
      <x:c r="F20" s="7" t="n">
        <x:v>2</x:v>
      </x:c>
      <x:c r="G20" s="11" t="str">
        <x:v>SYNTETICKÉ – test neproveden; bez důkazu</x:v>
      </x:c>
      <x:c r="H20" s="11" t="str">
        <x:v>Nastav automaticky číslované PK: zakaznik.id_zakaznik; zamestnanec.id_zamestnanec; dodavatel.id_dodavatel; kolo.id_kolo; sluzba.id_sluzba; dil.id_dil; zakazka.id_zakazka; faktura.id_faktura. | Těchto osm tabulek má jeden jednosloupcový PK a automatické ID. Elektrokolo automatické ID NEMÁ. Spojovací tabulky nemají samostatné id: použijí složený PK v 1.5.</x:v>
      </x:c>
      <x:c r="I20" s="1"/>
      <x:c r="J20" s="1"/>
      <x:c r="K20" s="1"/>
      <x:c r="L20" s="1"/>
      <x:c r="M20" s="1"/>
      <x:c r="N20" s="1"/>
      <x:c r="O20" s="1"/>
    </x:row>
    <x:row r="21" ht="64" customHeight="1">
      <x:c r="A21" s="11" t="str">
        <x:v>1.5 – Složené primární klíče v asociačních tabulkách (Krok 1 – vytvoření struktury)</x:v>
      </x:c>
      <x:c r="B21" s="1" t="str">
        <x:v>K1</x:v>
      </x:c>
      <x:c r="C21" s="7" t="n">
        <x:v>5</x:v>
      </x:c>
      <x:c r="D21" s="7" t="n">
        <x:v>3</x:v>
      </x:c>
      <x:c r="E21" s="7" t="n">
        <x:v>1</x:v>
      </x:c>
      <x:c r="F21" s="7" t="n">
        <x:v>3</x:v>
      </x:c>
      <x:c r="G21" s="11" t="str">
        <x:v>SYNTETICKÉ – test neproveden; bez důkazu</x:v>
      </x:c>
      <x:c r="H21" s="11" t="str">
        <x:v>V zakazka_sluzba propoj id_zakazka → zakazka.id_zakazka a id_sluzba → sluzba.id_sluzba. OBA sloupce společně označ jako JEDEN PK. V zakazka_dil proveď totéž pro id_zakazka a id_dil → dil.id_dil. | PRIMARY KEY (id_zakazka, id_sluzba) a PRIMARY KEY (id_zakazka, id_dil). Každá tabulka má dva FK, ale jeden složený PK. Oba sloupce jsou NOT NULL. Žádné třetí automatické id ani dva oddělené primární klíče.</x:v>
      </x:c>
      <x:c r="I21" s="1"/>
      <x:c r="J21" s="1"/>
      <x:c r="K21" s="1"/>
      <x:c r="L21" s="1"/>
      <x:c r="M21" s="1"/>
      <x:c r="N21" s="1"/>
      <x:c r="O21" s="1"/>
    </x:row>
    <x:row r="22" ht="64" customHeight="1">
      <x:c r="A22" s="11" t="str">
        <x:v>1.6 – Vlastní atributy asociačních tabulek (Krok 1 – vytvoření struktury)</x:v>
      </x:c>
      <x:c r="B22" s="1" t="str">
        <x:v>K1</x:v>
      </x:c>
      <x:c r="C22" s="7" t="n">
        <x:v>3</x:v>
      </x:c>
      <x:c r="D22" s="7" t="n">
        <x:v>2</x:v>
      </x:c>
      <x:c r="E22" s="7" t="n">
        <x:v>3</x:v>
      </x:c>
      <x:c r="F22" s="7" t="n">
        <x:v>5</x:v>
      </x:c>
      <x:c r="G22" s="11" t="str">
        <x:v>SYNTETICKÉ – test neproveden; bez důkazu</x:v>
      </x:c>
      <x:c r="H22" s="11" t="str">
        <x:v>V obou spojovacích tabulkách nastav mnozstvi INT NOT NULL a cena_za_jednotku DECIMAL(10,2) NOT NULL. | Množství ani cena nejsou součástí PK/FK. Jedna dvojice zakázka–služba/díl se vyskytuje jednou; opakování vyjadřuje množství. Cena je cena při opravě, nezávislá na pozdější změně ceníku.</x:v>
      </x:c>
      <x:c r="I22" s="1"/>
      <x:c r="J22" s="1"/>
      <x:c r="K22" s="1"/>
      <x:c r="L22" s="1"/>
      <x:c r="M22" s="1"/>
      <x:c r="N22" s="1"/>
      <x:c r="O22" s="1"/>
    </x:row>
    <x:row r="23" ht="64" customHeight="1">
      <x:c r="A23" s="11" t="str">
        <x:v>1.7 – Běžné cizí klíče a směry vazeb (Krok 1 – vytvoření struktury)</x:v>
      </x:c>
      <x:c r="B23" s="1" t="str">
        <x:v>K1</x:v>
      </x:c>
      <x:c r="C23" s="7" t="n">
        <x:v>4</x:v>
      </x:c>
      <x:c r="D23" s="7" t="n">
        <x:v>5</x:v>
      </x:c>
      <x:c r="E23" s="7" t="n">
        <x:v>4</x:v>
      </x:c>
      <x:c r="F23" s="7" t="n">
        <x:v>5</x:v>
      </x:c>
      <x:c r="G23" s="11" t="str">
        <x:v>SYNTETICKÉ – test neproveden; bez důkazu</x:v>
      </x:c>
      <x:c r="H23" s="11" t="str">
        <x:v>Propoj kolo.id_zakaznik → zakaznik.id_zakaznik; zakazka.id_kolo → kolo.id_kolo; dil.id_dodavatel → dodavatel.id_dodavatel. První dva FK jsou NOT NULL; dodavatel dílu může být NULL. | FK leží na straně N. Kolo musí mít zákazníka a zakázka kolo. Nástroj nesmí vytvořit další sloupec pro vazbu vedle již připraveného FK. Ve všech vazbách ponech zákaz mazání odkazovaného rodiče, bez kaskády.</x:v>
      </x:c>
      <x:c r="I23" s="1"/>
      <x:c r="J23" s="1"/>
      <x:c r="K23" s="1"/>
      <x:c r="L23" s="1"/>
      <x:c r="M23" s="1"/>
      <x:c r="N23" s="1"/>
      <x:c r="O23" s="1"/>
    </x:row>
    <x:row r="24" ht="64" customHeight="1">
      <x:c r="A24" s="11" t="str">
        <x:v>1.8 – Nepovinný cizí klíč zaměstnance u zakázky (Krok 1 – vytvoření struktury)</x:v>
      </x:c>
      <x:c r="B24" s="1" t="str">
        <x:v>K1</x:v>
      </x:c>
      <x:c r="C24" s="7" t="n">
        <x:v>5</x:v>
      </x:c>
      <x:c r="D24" s="7" t="n">
        <x:v>3</x:v>
      </x:c>
      <x:c r="E24" s="7" t="n">
        <x:v>2</x:v>
      </x:c>
      <x:c r="F24" s="7" t="n">
        <x:v>5</x:v>
      </x:c>
      <x:c r="G24" s="11" t="str">
        <x:v>SYNTETICKÉ – test neproveden; bez důkazu</x:v>
      </x:c>
      <x:c r="H24" s="11" t="str">
        <x:v>V zakazka propoj id_zamestnanec → zamestnanec.id_zamestnanec. U tohoto sloupce vypni NOT NULL / NN. | Zakázka smí mít id_zamestnanec = NULL. Pokud ID vyplníš, musí existovat odpovídající zaměstnanec. NULL není číslo 0 ani prázdný text.</x:v>
      </x:c>
      <x:c r="I24" s="1"/>
      <x:c r="J24" s="1"/>
      <x:c r="K24" s="1"/>
      <x:c r="L24" s="1"/>
      <x:c r="M24" s="1"/>
      <x:c r="N24" s="1"/>
      <x:c r="O24" s="1"/>
    </x:row>
    <x:row r="25" ht="64" customHeight="1">
      <x:c r="A25" s="11" t="str">
        <x:v>1.9 – Vazba 1:1 Zakázka–Faktura (Krok 1 – vytvoření struktury)</x:v>
      </x:c>
      <x:c r="B25" s="1" t="str">
        <x:v>K1</x:v>
      </x:c>
      <x:c r="C25" s="7" t="n">
        <x:v>3</x:v>
      </x:c>
      <x:c r="D25" s="7" t="n">
        <x:v>5</x:v>
      </x:c>
      <x:c r="E25" s="7" t="n">
        <x:v>5</x:v>
      </x:c>
      <x:c r="F25" s="7" t="n">
        <x:v>5</x:v>
      </x:c>
      <x:c r="G25" s="11" t="str">
        <x:v>SYNTETICKÉ – test neproveden; bez důkazu</x:v>
      </x:c>
      <x:c r="H25" s="11" t="str">
        <x:v>Ve faktura ponech id_faktura jako vlastní PK. Sloupec id_zakazka nastav jako FK → zakazka.id_zakazka, NOT NULL a samostatné UNIQUE. | Zakázka má 0 nebo 1 fakturu; každá faktura právě jednu zakázku. faktura.id_zakazka NENÍ PK. Pokud tlačítko 1:1 změní PK, oprav to a zapiš zásah.</x:v>
      </x:c>
      <x:c r="I25" s="1"/>
      <x:c r="J25" s="1"/>
      <x:c r="K25" s="1"/>
      <x:c r="L25" s="1"/>
      <x:c r="M25" s="1"/>
      <x:c r="N25" s="1"/>
      <x:c r="O25" s="1"/>
    </x:row>
    <x:row r="26" ht="64" customHeight="1">
      <x:c r="A26" s="11" t="str">
        <x:v>1.10 – UNIQUE mimo primární klíč (Krok 1 – vytvoření struktury)</x:v>
      </x:c>
      <x:c r="B26" s="1" t="str">
        <x:v>K1</x:v>
      </x:c>
      <x:c r="C26" s="7" t="n">
        <x:v>3</x:v>
      </x:c>
      <x:c r="D26" s="7" t="n">
        <x:v>1</x:v>
      </x:c>
      <x:c r="E26" s="7" t="n">
        <x:v>4</x:v>
      </x:c>
      <x:c r="F26" s="7" t="n">
        <x:v>4</x:v>
      </x:c>
      <x:c r="G26" s="11" t="str">
        <x:v>SYNTETICKÉ – test neproveden; bez důkazu</x:v>
      </x:c>
      <x:c r="H26" s="11" t="str">
        <x:v>Vytvoř samostatné UNIQUE pro zakaznik.email, kolo.seriove_cislo a faktura.id_zakazka. První dva sloupce mohou být NULL, třetí je NOT NULL. | Jde o tři oddělená omezení. Dva stejné VYPLNĚNÉ e-maily či sériová čísla nejsou dovoleny. Nejde o jeden složený klíč.</x:v>
      </x:c>
      <x:c r="I26" s="1"/>
      <x:c r="J26" s="1"/>
      <x:c r="K26" s="1"/>
      <x:c r="L26" s="1"/>
      <x:c r="M26" s="1"/>
      <x:c r="N26" s="1"/>
      <x:c r="O26" s="1"/>
    </x:row>
    <x:row r="27" ht="64" customHeight="1">
      <x:c r="A27" s="11" t="str">
        <x:v>1.11 – Omezení povolených stavových hodnot (Krok 1 – vytvoření struktury)</x:v>
      </x:c>
      <x:c r="B27" s="1" t="str">
        <x:v>K1</x:v>
      </x:c>
      <x:c r="C27" s="7" t="n">
        <x:v>5</x:v>
      </x:c>
      <x:c r="D27" s="7" t="n">
        <x:v>4</x:v>
      </x:c>
      <x:c r="E27" s="7" t="n">
        <x:v>3</x:v>
      </x:c>
      <x:c r="F27" s="7" t="n">
        <x:v>1</x:v>
      </x:c>
      <x:c r="G27" s="11" t="str">
        <x:v>SYNTETICKÉ – test neproveden; bez důkazu</x:v>
      </x:c>
      <x:c r="H27" s="11" t="str">
        <x:v>V Constraints / Checks nastav: zakazka.stav IN ('přijato','v opravě','hotovo','vyzvednuto','stornováno'); faktura.zpusob_platby IN ('hotově','kartou','převodem'); faktura.stav_platby IN ('zaplaceno','nezaplaceno'). Všechny tři sloupce jsou NOT NULL. | Vzniknou tři CHECK constraints. Pokud GUI CHECK neumí, napiš to. Náhradní ENUM či ruční SQL zaznamenej jako odlišný postup, nikoli jako úspěšné vytvoření CHECK v modelu.</x:v>
      </x:c>
      <x:c r="I27" s="1"/>
      <x:c r="J27" s="1"/>
      <x:c r="K27" s="1"/>
      <x:c r="L27" s="1"/>
      <x:c r="M27" s="1"/>
      <x:c r="N27" s="1"/>
      <x:c r="O27" s="1"/>
    </x:row>
    <x:row r="28" ht="64" customHeight="1">
      <x:c r="A28" s="11" t="str">
        <x:v>1.12 – Výchozí hodnoty (Krok 1 – vytvoření struktury)</x:v>
      </x:c>
      <x:c r="B28" s="1" t="str">
        <x:v>K1</x:v>
      </x:c>
      <x:c r="C28" s="7" t="n">
        <x:v>1</x:v>
      </x:c>
      <x:c r="D28" s="7" t="n">
        <x:v>2</x:v>
      </x:c>
      <x:c r="E28" s="7" t="n">
        <x:v>4</x:v>
      </x:c>
      <x:c r="F28" s="7" t="n">
        <x:v>5</x:v>
      </x:c>
      <x:c r="G28" s="11" t="str">
        <x:v>SYNTETICKÉ – test neproveden; bez důkazu</x:v>
      </x:c>
      <x:c r="H28" s="11" t="str">
        <x:v>Nastav DEFAULT: zakaznik.datum_registrace = CURRENT_DATE; zakazka.datum_prijeti = CURRENT_TIMESTAMP; zakazka.stav = 'přijato'; dil.mnozstvi_sklad = 0; mnozstvi v obou spojovacích tabulkách = 1; faktura.datum_vystaveni = CURRENT_DATE; faktura.stav_platby = 'nezaplaceno'. | Funkce a čísla nejsou text v uvozovkách. Textové stavy jsou SQL řetězce. MySQL: datum jako (CURRENT_DATE); Oracle: TRUNC(CURRENT_DATE). DEFAULT se použije při vynechání hodnoty, nenahrazuje vložené NULL.</x:v>
      </x:c>
      <x:c r="I28" s="1"/>
      <x:c r="J28" s="1"/>
      <x:c r="K28" s="1"/>
      <x:c r="L28" s="1"/>
      <x:c r="M28" s="1"/>
      <x:c r="N28" s="1"/>
      <x:c r="O28" s="1"/>
    </x:row>
    <x:row r="29" ht="64" customHeight="1">
      <x:c r="A29" s="11" t="str">
        <x:v>1.14 – Elektrokolo: jeden sloupec současně PK i FK</x:v>
      </x:c>
      <x:c r="B29" s="1" t="str">
        <x:v>K1</x:v>
      </x:c>
      <x:c r="C29" s="7" t="n">
        <x:v>1</x:v>
      </x:c>
      <x:c r="D29" s="7" t="n">
        <x:v>3</x:v>
      </x:c>
      <x:c r="E29" s="7" t="n">
        <x:v>2</x:v>
      </x:c>
      <x:c r="F29" s="7" t="n">
        <x:v>5</x:v>
      </x:c>
      <x:c r="G29" s="11" t="str">
        <x:v>SYNTETICKÉ – test neproveden; bez důkazu</x:v>
      </x:c>
      <x:c r="H29" s="11" t="str">
        <x:v>V elektrokolo označ id_kolo jako jediný PK. TENTÝŽ sloupec připoj jako FK → kolo.id_kolo. Nastav NOT NULL a vypni identity / auto-increment. Nevytvářej další id. | Kolo má 0 nebo 1 rozšiřující záznam elektrokolo. Elektrokolo používá již existující ID kola. Jde o jinou konstrukci než vlastní PK + FK UNIQUE u faktury.</x:v>
      </x:c>
      <x:c r="I29" s="1"/>
      <x:c r="J29" s="1"/>
      <x:c r="K29" s="1"/>
      <x:c r="L29" s="1"/>
      <x:c r="M29" s="1"/>
      <x:c r="N29" s="1"/>
      <x:c r="O29" s="1"/>
    </x:row>
    <x:row r="30" ht="64" customHeight="1">
      <x:c r="A30" s="11" t="str">
        <x:v>1.15 – CHECK čísel a dvou sloupců</x:v>
      </x:c>
      <x:c r="B30" s="1" t="str">
        <x:v>K1</x:v>
      </x:c>
      <x:c r="C30" s="7" t="n">
        <x:v>1</x:v>
      </x:c>
      <x:c r="D30" s="7" t="n">
        <x:v>5</x:v>
      </x:c>
      <x:c r="E30" s="7" t="n">
        <x:v>1</x:v>
      </x:c>
      <x:c r="F30" s="7" t="n">
        <x:v>2</x:v>
      </x:c>
      <x:c r="G30" s="11" t="str">
        <x:v>SYNTETICKÉ – test neproveden; bez důkazu</x:v>
      </x:c>
      <x:c r="H30" s="11" t="str">
        <x:v>V obou spojovacích tabulkách nastav CHECK (mnozstvi &gt; 0) a CHECK (cena_za_jednotku &gt;= 0). Dále: cena_zakladni &gt;= 0; cena_prodejni &gt;= 0; mnozstvi_sklad &gt;= 0; castka_celkem &gt;= 0; vykon_motoru_w &gt; 0; kapacita_baterie_wh &gt; 0. U sluzba: (odhad_doby_min IS NULL OR odhad_doby_min &gt; 0). U zakazka: (datum_dokonceni IS NULL OR datum_dokonceni &gt;= datum_prijeti). | Vzniknou skutečné CHECK constraints. Ceny a množství jsou NOT NULL. Odhad doby a datum dokončení smí chybět. Poslední CHECK porovnává dva sloupce téhož řádku a nelze jej nahradit ENUM.</x:v>
      </x:c>
      <x:c r="I30" s="1"/>
      <x:c r="J30" s="1"/>
      <x:c r="K30" s="1"/>
      <x:c r="L30" s="1"/>
      <x:c r="M30" s="1"/>
      <x:c r="N30" s="1"/>
      <x:c r="O30" s="1"/>
    </x:row>
    <x:row r="31" ht="64" customHeight="1">
      <x:c r="A31" s="11" t="str">
        <x:v>1.13 – Celková použitelnost modelování (Krok 1 – vytvoření struktury)</x:v>
      </x:c>
      <x:c r="B31" s="1" t="str">
        <x:v>K2</x:v>
      </x:c>
      <x:c r="C31" s="7" t="n">
        <x:v>2</x:v>
      </x:c>
      <x:c r="D31" s="7" t="n">
        <x:v>4</x:v>
      </x:c>
      <x:c r="E31" s="7" t="n">
        <x:v>2</x:v>
      </x:c>
      <x:c r="F31" s="7" t="n">
        <x:v>1</x:v>
      </x:c>
      <x:c r="G31" s="11" t="str">
        <x:v>SYNTETICKÉ – test neproveden; bez důkazu</x:v>
      </x:c>
      <x:c r="H31" s="11" t="str">
        <x:v>Po nových bodech 1.14 a 1.15 shrň ovládání, hledání voleb, obchvaty a chyby u všech 11 tabulek. | Popis opři o konkrétní zkušenost: složený PK, FK + UNIQUE, PK = FK, CHECK a DEFAULT. Rozliš „nástroj neumí“ a „volbu jsem nenašel“. Původní známka se zachovala jako dosavadní záznam.</x:v>
      </x:c>
      <x:c r="I31" s="1"/>
      <x:c r="J31" s="1"/>
      <x:c r="K31" s="1"/>
      <x:c r="L31" s="1"/>
      <x:c r="M31" s="1"/>
      <x:c r="N31" s="1"/>
      <x:c r="O31" s="1"/>
    </x:row>
    <x:row r="32" ht="64" customHeight="1">
      <x:c r="A32" s="11" t="str">
        <x:v>2.1 – Vygenerování DDL z modelu (Krok 2 – forward engineering)</x:v>
      </x:c>
      <x:c r="B32" s="1" t="str">
        <x:v>K4</x:v>
      </x:c>
      <x:c r="C32" s="7" t="n">
        <x:v>5</x:v>
      </x:c>
      <x:c r="D32" s="7" t="n">
        <x:v>4</x:v>
      </x:c>
      <x:c r="E32" s="7" t="n">
        <x:v>4</x:v>
      </x:c>
      <x:c r="F32" s="7" t="n">
        <x:v>1</x:v>
      </x:c>
      <x:c r="G32" s="11" t="str">
        <x:v>SYNTETICKÉ – test neproveden; bez důkazu</x:v>
      </x:c>
      <x:c r="H32" s="11" t="str">
        <x:v>Z VLASTNÍHO modelu vygeneruj DDL pro zvolenou DB. Referenční SQL z tohoto sešitu při tomto kroku nepoužívej. | Výstup obsahuje 11 tabulek a jejich omezení. U DB-first postupu exportuj vlastní schéma a rozdíl zapiš; neoznačuj jej za generování z offline modelu.</x:v>
      </x:c>
      <x:c r="I32" s="1"/>
      <x:c r="J32" s="1"/>
      <x:c r="K32" s="1"/>
      <x:c r="L32" s="1"/>
      <x:c r="M32" s="1"/>
      <x:c r="N32" s="1"/>
      <x:c r="O32" s="1"/>
    </x:row>
    <x:row r="33" ht="64" customHeight="1">
      <x:c r="A33" s="11" t="str">
        <x:v>2.2 – Spuštění vygenerovaného DDL bez chyby (Krok 2 – forward engineering)</x:v>
      </x:c>
      <x:c r="B33" s="1" t="str">
        <x:v>K4</x:v>
      </x:c>
      <x:c r="C33" s="7" t="n">
        <x:v>3</x:v>
      </x:c>
      <x:c r="D33" s="7" t="n">
        <x:v>3</x:v>
      </x:c>
      <x:c r="E33" s="7" t="n">
        <x:v>3</x:v>
      </x:c>
      <x:c r="F33" s="7" t="n">
        <x:v>3</x:v>
      </x:c>
      <x:c r="G33" s="11" t="str">
        <x:v>SYNTETICKÉ – test neproveden; bez důkazu</x:v>
      </x:c>
      <x:c r="H33" s="11" t="str">
        <x:v>V samostatné PRÁZDNÉ testovací databázi/schématu spusť neupravené vlastní vygenerované DDL. Nepoužívej schéma s daty, která potřebuješ. | DDL doběhne bez chyby a vznikne 11 tabulek. MySQL: SHOW TABLES. PostgreSQL: Tables v cílovém schématu nebo information_schema.tables. Oracle: USER_TABLES u testovacího uživatele.</x:v>
      </x:c>
      <x:c r="I33" s="1"/>
      <x:c r="J33" s="1"/>
      <x:c r="K33" s="1"/>
      <x:c r="L33" s="1"/>
      <x:c r="M33" s="1"/>
      <x:c r="N33" s="1"/>
      <x:c r="O33" s="1"/>
    </x:row>
    <x:row r="34" ht="64" customHeight="1">
      <x:c r="A34" s="11" t="str">
        <x:v>2.3 – Zachování klíčů a omezení v DDL (Krok 2 – forward engineering)</x:v>
      </x:c>
      <x:c r="B34" s="1" t="str">
        <x:v>K4</x:v>
      </x:c>
      <x:c r="C34" s="7" t="n">
        <x:v>1</x:v>
      </x:c>
      <x:c r="D34" s="7" t="n">
        <x:v>3</x:v>
      </x:c>
      <x:c r="E34" s="7" t="n">
        <x:v>5</x:v>
      </x:c>
      <x:c r="F34" s="7" t="n">
        <x:v>3</x:v>
      </x:c>
      <x:c r="G34" s="11" t="str">
        <x:v>SYNTETICKÉ – test neproveden; bez důkazu</x:v>
      </x:c>
      <x:c r="H34" s="11" t="str">
        <x:v>Ve vytvořené DB prověř 8 automatických PK, 2 složené PK, elektrokolo.id_kolo jako PK i FK, všechny FK, NULL, UNIQUE, CHECK a DEFAULT podle Model a pravidla. | Omezení existují ve vytvořené DB, nestačí čáry v diagramu. Elektrokolo nemá automatické číslování. Chování s daty ověř také v novém bodě 2.6.</x:v>
      </x:c>
      <x:c r="I34" s="1"/>
      <x:c r="J34" s="1"/>
      <x:c r="K34" s="1"/>
      <x:c r="L34" s="1"/>
      <x:c r="M34" s="1"/>
      <x:c r="N34" s="1"/>
      <x:c r="O34" s="1"/>
    </x:row>
    <x:row r="35" ht="64" customHeight="1">
      <x:c r="A35" s="11" t="str">
        <x:v>2.4 – Nutné ruční zásahy do DDL (Krok 2 – forward engineering)</x:v>
      </x:c>
      <x:c r="B35" s="1" t="str">
        <x:v>K4</x:v>
      </x:c>
      <x:c r="C35" s="7" t="n">
        <x:v>1</x:v>
      </x:c>
      <x:c r="D35" s="7" t="n">
        <x:v>3</x:v>
      </x:c>
      <x:c r="E35" s="7" t="n">
        <x:v>1</x:v>
      </x:c>
      <x:c r="F35" s="7" t="n">
        <x:v>4</x:v>
      </x:c>
      <x:c r="G35" s="11" t="str">
        <x:v>SYNTETICKÉ – test neproveden; bez důkazu</x:v>
      </x:c>
      <x:c r="H35" s="11" t="str">
        <x:v>Při selhání uschovej původní SQL. Každou změnu zapiš: chyba, původní řádek, opravený řádek, důvod. Opravenou kopii spusť v jiném prázdném testovacím schématu. | Původní výstup a ruční oprava jsou oddělené výsledky. Pokud zásah nebyl nutný, napiš „žádné“.</x:v>
      </x:c>
      <x:c r="I35" s="1"/>
      <x:c r="J35" s="1"/>
      <x:c r="K35" s="1"/>
      <x:c r="L35" s="1"/>
      <x:c r="M35" s="1"/>
      <x:c r="N35" s="1"/>
      <x:c r="O35" s="1"/>
    </x:row>
    <x:row r="36" ht="64" customHeight="1">
      <x:c r="A36" s="12" t="str">
        <x:v>2.5 – Export DDL do souboru (Krok 2 – forward engineering)</x:v>
      </x:c>
      <x:c r="B36" t="str">
        <x:v>K4</x:v>
      </x:c>
      <x:c r="C36" s="13" t="n">
        <x:v>4</x:v>
      </x:c>
      <x:c r="D36" s="13" t="n">
        <x:v>1</x:v>
      </x:c>
      <x:c r="E36" s="13" t="n">
        <x:v>5</x:v>
      </x:c>
      <x:c r="F36" s="13" t="n">
        <x:v>1</x:v>
      </x:c>
      <x:c r="G36" s="12" t="str">
        <x:v>SYNTETICKÉ – test neproveden; bez důkazu</x:v>
      </x:c>
      <x:c r="H36" s="12" t="str">
        <x:v>Ulož celé vlastní DDL do UTF-8 .sql, zavři a znovu otevři soubor. | Soubor obsahuje všech 11 tabulek a omezení. Název rozlišuje nástroj a původní/opravovanou variantu. Stejný doklad použij v 4.3.</x:v>
      </x:c>
    </x:row>
    <x:row r="37" ht="64" customHeight="1">
      <x:c r="A37" s="12" t="str">
        <x:v>2.6 – Skutečné vynucení omezení</x:v>
      </x:c>
      <x:c r="B37" t="str">
        <x:v>K4</x:v>
      </x:c>
      <x:c r="C37" s="13" t="n">
        <x:v>2</x:v>
      </x:c>
      <x:c r="D37" s="13" t="n">
        <x:v>5</x:v>
      </x:c>
      <x:c r="E37" s="13" t="n">
        <x:v>4</x:v>
      </x:c>
      <x:c r="F37" s="13" t="n">
        <x:v>2</x:v>
      </x:c>
      <x:c r="G37" s="12" t="str">
        <x:v>SYNTETICKÉ – test neproveden; bez důkazu</x:v>
      </x:c>
      <x:c r="H37" s="12" t="str">
        <x:v>V odděleném testovacím schématu vlož platného zákazníka, kolo, zakázku, službu a položku. Vyplň povinné sloupce a používej skutečně přidělená ID. Pak jednotlivě proveď pokusy z listu Kontrolní data. | Platné řádky projdou. NULL mechanik projde; neexistující FK, duplicitní dvojice PK, druhá faktura na stejnou zakázku, neplatný stav, nulové množství a záporná cena se odmítnou. Elektrokolo používá existující ID kola.</x:v>
      </x:c>
    </x:row>
    <x:row r="38" ht="64" customHeight="1">
      <x:c r="A38" s="12" t="str">
        <x:v>3.1 – Připojení k referenční databázi (Krok 3 – reverse engineering)</x:v>
      </x:c>
      <x:c r="B38" t="str">
        <x:v>K5</x:v>
      </x:c>
      <x:c r="C38" s="13" t="n">
        <x:v>3</x:v>
      </x:c>
      <x:c r="D38" s="13" t="n">
        <x:v>2</x:v>
      </x:c>
      <x:c r="E38" s="13" t="n">
        <x:v>5</x:v>
      </x:c>
      <x:c r="F38" s="13" t="n">
        <x:v>4</x:v>
      </x:c>
      <x:c r="G38" s="12" t="str">
        <x:v>SYNTETICKÉ – test neproveden; bez důkazu</x:v>
      </x:c>
      <x:c r="H38" s="12" t="str">
        <x:v>V jiném prázdném testovacím schématu spusť referenční SQL z listu SQL MySQL, SQL PostgreSQL nebo SQL Oracle. Připoj k němu nástroj; přihlašovací údaje do hodnocení nepiš. | Reference je nezávislá na tvém DDL z kroku 2 a obsahuje 11 tabulek. Zapiš skutečný server, verzi a DB/schéma. Referenční skripty jsou připravený návrh; jejich spuštění zatím není doložené.</x:v>
      </x:c>
    </x:row>
    <x:row r="39" ht="64" customHeight="1">
      <x:c r="A39" s="12" t="str">
        <x:v>3.2 – Rozpoznání všech 11 tabulek (Krok 3 – reverse engineering)</x:v>
      </x:c>
      <x:c r="B39" t="str">
        <x:v>K5</x:v>
      </x:c>
      <x:c r="C39" s="13" t="n">
        <x:v>2</x:v>
      </x:c>
      <x:c r="D39" s="13" t="n">
        <x:v>1</x:v>
      </x:c>
      <x:c r="E39" s="13" t="n">
        <x:v>5</x:v>
      </x:c>
      <x:c r="F39" s="13" t="n">
        <x:v>4</x:v>
      </x:c>
      <x:c r="G39" s="12" t="str">
        <x:v>SYNTETICKÉ – test neproveden; bez důkazu</x:v>
      </x:c>
      <x:c r="H39" s="12" t="str">
        <x:v>V novém modelu/diagramu načti všech 11 tabulek z referenčního schématu. | Vznikne 11 tabulek včetně elektrokolo. Rozliš editovatelný samostatný model a diagram nad živou DB. Neotvírej jako výsledek původní model z kroku 1.</x:v>
      </x:c>
    </x:row>
    <x:row r="40" ht="64" customHeight="1">
      <x:c r="A40" s="12" t="str">
        <x:v>3.3 – Rozpoznání složených PK (Krok 3 – reverse engineering)</x:v>
      </x:c>
      <x:c r="B40" t="str">
        <x:v>K5</x:v>
      </x:c>
      <x:c r="C40" s="13" t="n">
        <x:v>2</x:v>
      </x:c>
      <x:c r="D40" s="13" t="n">
        <x:v>5</x:v>
      </x:c>
      <x:c r="E40" s="13" t="n">
        <x:v>5</x:v>
      </x:c>
      <x:c r="F40" s="13" t="n">
        <x:v>2</x:v>
      </x:c>
      <x:c r="G40" s="12" t="str">
        <x:v>SYNTETICKÉ – test neproveden; bez důkazu</x:v>
      </x:c>
      <x:c r="H40" s="12" t="str">
        <x:v>Otevři indexy/klíče tabulek zakazka_sluzba a zakazka_dil. | V každé tabulce musí PRIMARY KEY obsahovat právě dva FK sloupce. Ověř pořadí a členství sloupců; samostatné id nebo obyčejný index místo PK je chyba importu.</x:v>
      </x:c>
    </x:row>
    <x:row r="41" ht="64" customHeight="1">
      <x:c r="A41" s="12" t="str">
        <x:v>3.4 – Rozpoznání FK a kardinalit (Krok 3 – reverse engineering)</x:v>
      </x:c>
      <x:c r="B41" t="str">
        <x:v>K5</x:v>
      </x:c>
      <x:c r="C41" s="13" t="n">
        <x:v>1</x:v>
      </x:c>
      <x:c r="D41" s="13" t="n">
        <x:v>2</x:v>
      </x:c>
      <x:c r="E41" s="13" t="n">
        <x:v>4</x:v>
      </x:c>
      <x:c r="F41" s="13" t="n">
        <x:v>2</x:v>
      </x:c>
      <x:c r="G41" s="12" t="str">
        <x:v>SYNTETICKÉ – test neproveden; bez důkazu</x:v>
      </x:c>
      <x:c r="H41" s="12" t="str">
        <x:v>Prověř všechny FK podle Model a pravidla. Zvlášť zakazka.id_zamestnanec a dil.id_dodavatel s NULL a faktura.id_zakazka s UNIQUE. | Zachovaly se směry i povinnost vazeb. Faktura je 0..1 na zakázku. Elektrokolo ověř v 3.9. Kontroluj klíče i kresbu.</x:v>
      </x:c>
    </x:row>
    <x:row r="42" ht="64" customHeight="1">
      <x:c r="A42" s="12" t="str">
        <x:v>3.5 – Rozpoznání UNIQUE omezení (Krok 3 – reverse engineering)</x:v>
      </x:c>
      <x:c r="B42" t="str">
        <x:v>K5</x:v>
      </x:c>
      <x:c r="C42" s="13" t="n">
        <x:v>5</x:v>
      </x:c>
      <x:c r="D42" s="13" t="n">
        <x:v>3</x:v>
      </x:c>
      <x:c r="E42" s="13" t="n">
        <x:v>2</x:v>
      </x:c>
      <x:c r="F42" s="13" t="n">
        <x:v>4</x:v>
      </x:c>
      <x:c r="G42" s="12" t="str">
        <x:v>SYNTETICKÉ – test neproveden; bez důkazu</x:v>
      </x:c>
      <x:c r="H42" s="12" t="str">
        <x:v>Zkontroluj jedinečné indexy/constrainty po importu. | Ověř zakaznik.email, kolo.seriove_cislo a faktura.id_zakazka. U každého zapiš, zda se načetl jako UNIQUE constraint, unique index, nebo se ztratil.</x:v>
      </x:c>
    </x:row>
    <x:row r="43" ht="64" customHeight="1">
      <x:c r="A43" s="12" t="str">
        <x:v>3.6 – Rozpoznání CHECK/ENUM omezení (Krok 3 – reverse engineering)</x:v>
      </x:c>
      <x:c r="B43" t="str">
        <x:v>K5</x:v>
      </x:c>
      <x:c r="C43" s="13" t="n">
        <x:v>3</x:v>
      </x:c>
      <x:c r="D43" s="13" t="n">
        <x:v>3</x:v>
      </x:c>
      <x:c r="E43" s="13" t="n">
        <x:v>5</x:v>
      </x:c>
      <x:c r="F43" s="13" t="n">
        <x:v>3</x:v>
      </x:c>
      <x:c r="G43" s="12" t="str">
        <x:v>SYNTETICKÉ – test neproveden; bez důkazu</x:v>
      </x:c>
      <x:c r="H43" s="12" t="str">
        <x:v>Prověř importované CHECK stavů z 1.11 a číselných/datových pravidel z 1.15. U elektrokola ověř kladný výkon i kapacitu. | Zachovaly se stejné výrazy. Ztrátu CHECK, převod na ENUM nebo nezobrazené omezení výslovně zapiš. Pouhá poznámka v diagramu není CHECK.</x:v>
      </x:c>
    </x:row>
    <x:row r="44" ht="64" customHeight="1">
      <x:c r="A44" s="12" t="str">
        <x:v>3.7 – Rozdíly proti referenčnímu schématu (Krok 3 – reverse engineering)</x:v>
      </x:c>
      <x:c r="B44" t="str">
        <x:v>K5</x:v>
      </x:c>
      <x:c r="C44" s="13" t="n">
        <x:v>5</x:v>
      </x:c>
      <x:c r="D44" s="13" t="n">
        <x:v>3</x:v>
      </x:c>
      <x:c r="E44" s="13" t="n">
        <x:v>1</x:v>
      </x:c>
      <x:c r="F44" s="13" t="n">
        <x:v>4</x:v>
      </x:c>
      <x:c r="G44" s="12" t="str">
        <x:v>SYNTETICKÉ – test neproveden; bez důkazu</x:v>
      </x:c>
      <x:c r="H44" s="12" t="str">
        <x:v>Porovnej všech 11 tabulek s Model a pravidla: sloupce, typy, PK, FK, NULL, UNIQUE, CHECK, DEFAULT a automatické číslování. | Při shodě uveď skutečně porovnané skupiny objektů. Při rozdílu zapiš tabulku, sloupec a původní versus načtenou definici.</x:v>
      </x:c>
    </x:row>
    <x:row r="45" ht="64" customHeight="1">
      <x:c r="A45" s="12" t="str">
        <x:v>3.8 – Dostupnost funkce v testované edici (Krok 3 – reverse engineering)</x:v>
      </x:c>
      <x:c r="B45" t="str">
        <x:v>K5</x:v>
      </x:c>
      <x:c r="C45" s="13" t="n">
        <x:v>5</x:v>
      </x:c>
      <x:c r="D45" s="13" t="n">
        <x:v>4</x:v>
      </x:c>
      <x:c r="E45" s="13" t="n">
        <x:v>3</x:v>
      </x:c>
      <x:c r="F45" s="13" t="n">
        <x:v>5</x:v>
      </x:c>
      <x:c r="G45" s="12" t="str">
        <x:v>SYNTETICKÉ – test neproveden; bez důkazu</x:v>
      </x:c>
      <x:c r="H45" s="12" t="str">
        <x:v>Ověř, že reverse engineering byl proveden ve stejné edici, kterou hodnotíš. | Zapiš přesný název edice a verzi. Pokud funkce chybí, je omezená nebo byla použita trial/placená edice, popiš to; výsledek jiné edice nepřipisuj Community/free edici.</x:v>
      </x:c>
    </x:row>
    <x:row r="46" ht="64" customHeight="1">
      <x:c r="A46" s="12" t="str">
        <x:v>3.9 – Načtení PK = FK elektrokola</x:v>
      </x:c>
      <x:c r="B46" t="str">
        <x:v>K5</x:v>
      </x:c>
      <x:c r="C46" s="13" t="n">
        <x:v>2</x:v>
      </x:c>
      <x:c r="D46" s="13" t="n">
        <x:v>3</x:v>
      </x:c>
      <x:c r="E46" s="13" t="n">
        <x:v>3</x:v>
      </x:c>
      <x:c r="F46" s="13" t="n">
        <x:v>2</x:v>
      </x:c>
      <x:c r="G46" s="12" t="str">
        <x:v>SYNTETICKÉ – test neproveden; bez důkazu</x:v>
      </x:c>
      <x:c r="H46" s="12" t="str">
        <x:v>V importované tabulce elektrokolo otevři PK, FK a definici id_kolo. | Jediný id_kolo zůstal PK i FK na kolo.id_kolo, bez automatického číslování. Výkon a kapacita mají NOT NULL a CHECK kladnosti. Nepřibyl další sloupec pro vazbu.</x:v>
      </x:c>
    </x:row>
    <x:row r="47" ht="64" customHeight="1">
      <x:c r="A47" s="12" t="str">
        <x:v>4.1 – Nativní export diagramu (Krok 4 – export)</x:v>
      </x:c>
      <x:c r="B47" t="str">
        <x:v>K7</x:v>
      </x:c>
      <x:c r="C47" s="13" t="n">
        <x:v>3</x:v>
      </x:c>
      <x:c r="D47" s="13" t="n">
        <x:v>4</x:v>
      </x:c>
      <x:c r="E47" s="13" t="n">
        <x:v>2</x:v>
      </x:c>
      <x:c r="F47" s="13" t="n">
        <x:v>2</x:v>
      </x:c>
      <x:c r="G47" s="12" t="str">
        <x:v>SYNTETICKÉ – test neproveden; bez důkazu</x:v>
      </x:c>
      <x:c r="H47" s="12" t="str">
        <x:v>V nabídce Export vyzkoušej všechny formáty diagramu, které nástroj nabízí. | Ulož alespoň jeden výstup a vypiš přesné nabízené formáty, například PNG, SVG nebo PDF. Každý soubor otevři a ověř čitelnost názvů tabulek, sloupců a vazeb.</x:v>
      </x:c>
    </x:row>
    <x:row r="48" ht="64" customHeight="1">
      <x:c r="A48" s="12" t="str">
        <x:v>4.2 – Nativní export versus tisk do PDF (Krok 4 – export)</x:v>
      </x:c>
      <x:c r="B48" t="str">
        <x:v>K7</x:v>
      </x:c>
      <x:c r="C48" s="13" t="n">
        <x:v>5</x:v>
      </x:c>
      <x:c r="D48" s="13" t="n">
        <x:v>2</x:v>
      </x:c>
      <x:c r="E48" s="13" t="n">
        <x:v>3</x:v>
      </x:c>
      <x:c r="F48" s="13" t="n">
        <x:v>1</x:v>
      </x:c>
      <x:c r="G48" s="12" t="str">
        <x:v>SYNTETICKÉ – test neproveden; bez důkazu</x:v>
      </x:c>
      <x:c r="H48" s="12" t="str">
        <x:v>Porovnej příkaz Export s příkazem Print/Tisk. | Za nativní PDF označ jen formát přímo nabízený funkcí Export. Microsoft Print to PDF nebo jiný systémový tisk zapiš zvlášť jako tisk, nikoli jako nativní export nástroje.</x:v>
      </x:c>
    </x:row>
    <x:row r="49" ht="64" customHeight="1">
      <x:c r="A49" s="12" t="str">
        <x:v>4.3 – Export SQL/DDL (Krok 4 – export)</x:v>
      </x:c>
      <x:c r="B49" t="str">
        <x:v>K4</x:v>
      </x:c>
      <x:c r="C49" s="13" t="n">
        <x:v>5</x:v>
      </x:c>
      <x:c r="D49" s="13" t="n">
        <x:v>1</x:v>
      </x:c>
      <x:c r="E49" s="13" t="n">
        <x:v>2</x:v>
      </x:c>
      <x:c r="F49" s="13" t="n">
        <x:v>5</x:v>
      </x:c>
      <x:c r="G49" s="12" t="str">
        <x:v>SYNTETICKÉ – test neproveden; bez důkazu</x:v>
      </x:c>
      <x:c r="H49" s="12" t="str">
        <x:v>Použij soubor z 2.5 a znovu ověř jeho otevření mimo relaci nástroje. | Obsahuje všech 11 tabulek. Jde o stejný doklad jako 2.5; stejnou schopnost při souhrnném hodnocení nezapočítávej dvakrát.</x:v>
      </x:c>
    </x:row>
    <x:row r="50" ht="64" customHeight="1">
      <x:c r="A50" s="12" t="str">
        <x:v>4.4 – Import cizího formátu (Krok 4 – export)</x:v>
      </x:c>
      <x:c r="B50" t="str">
        <x:v>K7</x:v>
      </x:c>
      <x:c r="C50" s="13" t="n">
        <x:v>3</x:v>
      </x:c>
      <x:c r="D50" s="13" t="n">
        <x:v>2</x:v>
      </x:c>
      <x:c r="E50" s="13" t="n">
        <x:v>2</x:v>
      </x:c>
      <x:c r="F50" s="13" t="n">
        <x:v>5</x:v>
      </x:c>
      <x:c r="G50" s="12" t="str">
        <x:v>SYNTETICKÉ – test neproveden; bez důkazu</x:v>
      </x:c>
      <x:c r="H50" s="12" t="str">
        <x:v>V novém projektu zkus offline import referenčního SQL pro cílovou DB. Jiný modelový formát případně zapiš zvlášť. | Při importu SQL vznikne 11 tabulek. Prověř složený PK, FK + UNIQUE u faktury, PK = FK u elektrokola a CHECK. Pokud offline import edice neumí, zapiš nedostupnost; živá DB patří do kroku 3.</x:v>
      </x:c>
    </x:row>
    <x:row r="51" ht="64" customHeight="1">
      <x:c r="A51" s="12" t="str">
        <x:v>K3.1 – Nativně podporované DBMS (K3 – kompatibilita s DBMS)</x:v>
      </x:c>
      <x:c r="B51" t="str">
        <x:v>K3</x:v>
      </x:c>
      <x:c r="C51" s="13" t="n">
        <x:v>5</x:v>
      </x:c>
      <x:c r="D51" s="13" t="n">
        <x:v>3</x:v>
      </x:c>
      <x:c r="E51" s="13" t="n">
        <x:v>1</x:v>
      </x:c>
      <x:c r="F51" s="13" t="n">
        <x:v>4</x:v>
      </x:c>
      <x:c r="G51" s="12" t="str">
        <x:v>SYNTETICKÉ – test neproveden; bez důkazu</x:v>
      </x:c>
      <x:c r="H51" s="12" t="str">
        <x:v>Zjisti seznam DBMS, pro které nástroj umí modelování a generování/reverse engineering. | Použij oficiální dokumentaci testované verze. Rozliš pouhé databázové připojení od podpory datového modelování. Zapiš seznam DBMS, URL zdroje a datum ověření.</x:v>
      </x:c>
    </x:row>
    <x:row r="52" ht="64" customHeight="1">
      <x:c r="A52" s="12" t="str">
        <x:v>K3.2 – Praktický test jiné DBMS (K3 – kompatibilita s DBMS)</x:v>
      </x:c>
      <x:c r="B52" t="str">
        <x:v>K3</x:v>
      </x:c>
      <x:c r="C52" s="13" t="n">
        <x:v>5</x:v>
      </x:c>
      <x:c r="D52" s="13" t="n">
        <x:v>2</x:v>
      </x:c>
      <x:c r="E52" s="13" t="n">
        <x:v>2</x:v>
      </x:c>
      <x:c r="F52" s="13" t="n">
        <x:v>5</x:v>
      </x:c>
      <x:c r="G52" s="12" t="str">
        <x:v>SYNTETICKÉ – test neproveden; bez důkazu</x:v>
      </x:c>
      <x:c r="H52" s="12" t="str">
        <x:v>Pokud je to v rozsahu práce, zopakuj malý test proti jiné než primární DBMS. | Použij stejný jednoduchý model s PK, FK a UNIQUE. Vygeneruj nebo reverse-engineeruj schéma a zapiš, co fungovalo odlišně. Pokud jiná DBMS testována nebyla, napiš „netestováno“ místo odhadu.</x:v>
      </x:c>
    </x:row>
    <x:row r="53" ht="64" customHeight="1">
      <x:c r="A53" s="12" t="str">
        <x:v>K6.1 – Kvalita oficiální dokumentace (K6 – dokumentace a komunita)</x:v>
      </x:c>
      <x:c r="B53" t="str">
        <x:v>K6</x:v>
      </x:c>
      <x:c r="C53" s="13" t="n">
        <x:v>2</x:v>
      </x:c>
      <x:c r="D53" s="13" t="n">
        <x:v>5</x:v>
      </x:c>
      <x:c r="E53" s="13" t="n">
        <x:v>3</x:v>
      </x:c>
      <x:c r="F53" s="13" t="n">
        <x:v>3</x:v>
      </x:c>
      <x:c r="G53" s="12" t="str">
        <x:v>SYNTETICKÉ – test neproveden; bez důkazu</x:v>
      </x:c>
      <x:c r="H53" s="12" t="str">
        <x:v>V oficiální dokumentaci vyhledej postup pro model, forward engineering, reverse engineering a export. | Zapiš, zda návody odpovídají testované verzi, obsahují konkrétní kroky a řeší omezení. Ulož URL a datum přístupu; hodnocení opři o to, kolik kroků bylo nutné dohledat jinde.</x:v>
      </x:c>
    </x:row>
    <x:row r="54" ht="64" customHeight="1">
      <x:c r="A54" s="12" t="str">
        <x:v>K6.2 – Aktivita komunity (K6 – dokumentace a komunita)</x:v>
      </x:c>
      <x:c r="B54" t="str">
        <x:v>K6</x:v>
      </x:c>
      <x:c r="C54" s="13" t="n">
        <x:v>2</x:v>
      </x:c>
      <x:c r="D54" s="13" t="n">
        <x:v>1</x:v>
      </x:c>
      <x:c r="E54" s="13" t="n">
        <x:v>2</x:v>
      </x:c>
      <x:c r="F54" s="13" t="n">
        <x:v>3</x:v>
      </x:c>
      <x:c r="G54" s="12" t="str">
        <x:v>SYNTETICKÉ – test neproveden; bez důkazu</x:v>
      </x:c>
      <x:c r="H54" s="12" t="str">
        <x:v>Prověř oficiální fórum, issue tracker nebo GitHub projektu. | Najdi témata k modelování, FK/PK, forward/reverse engineering a exportu. Zapiš datum poslední relevantní aktivity, zda jsou dotazy zodpovídány a URL. Neposuzuj komunitu jen podle celkového počtu výsledků vyhledávání.</x:v>
      </x:c>
    </x:row>
    <x:row r="55" ht="64" customHeight="1">
      <x:c r="A55" s="12" t="str">
        <x:v>K8.1 – Cena a přesná edice (K8 – náklady a licence)</x:v>
      </x:c>
      <x:c r="B55" t="str">
        <x:v>K8</x:v>
      </x:c>
      <x:c r="C55" s="13" t="n">
        <x:v>5</x:v>
      </x:c>
      <x:c r="D55" s="13" t="n">
        <x:v>3</x:v>
      </x:c>
      <x:c r="E55" s="13" t="n">
        <x:v>1</x:v>
      </x:c>
      <x:c r="F55" s="13" t="n">
        <x:v>4</x:v>
      </x:c>
      <x:c r="G55" s="12" t="str">
        <x:v>SYNTETICKÉ – test neproveden; bez důkazu</x:v>
      </x:c>
      <x:c r="H55" s="12" t="str">
        <x:v>Zapiš plný název, verzi, edici a cenu použité varianty. | Ověř údaje na oficiální stránce produktu nebo licence. U bezplatné edice napiš cenu 0 a typ licence; u předplatného uveď období a měnu. Přidej URL a datum ověření.</x:v>
      </x:c>
    </x:row>
    <x:row r="56" ht="64" customHeight="1">
      <x:c r="A56" s="12" t="str">
        <x:v>K8.2 – Omezení bezplatné edice (K8 – náklady a licence)</x:v>
      </x:c>
      <x:c r="B56" t="str">
        <x:v>K8</x:v>
      </x:c>
      <x:c r="C56" s="13" t="n">
        <x:v>2</x:v>
      </x:c>
      <x:c r="D56" s="13" t="n">
        <x:v>4</x:v>
      </x:c>
      <x:c r="E56" s="13" t="n">
        <x:v>1</x:v>
      </x:c>
      <x:c r="F56" s="13" t="n">
        <x:v>2</x:v>
      </x:c>
      <x:c r="G56" s="12" t="str">
        <x:v>SYNTETICKÉ – test neproveden; bez důkazu</x:v>
      </x:c>
      <x:c r="H56" s="12" t="str">
        <x:v>Porovnej Community/free edici s placenou variantou jen v funkcích důležitých pro tento test. | Ověř model-first, forward engineering, reverse engineering, podporované DBMS a exportní formáty. U každého omezení uveď, zda se projevilo v praktickém testu, nebo pochází pouze z dokumentace.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Pokyny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Seed 20260927; všechny známky a matice jsou syntetické.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Známky 1–5: 1 nejlepší, 5 nejhorší. Nejsou vstupem AHP.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 t="str">
        <x:v>Matice AHP byly generovány nezávisle; nepředstavují úsudek autora.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 t="str">
        <x:v>Po reálných testech nahraďte známky i všechny párové matice.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 t="str">
        <x:v>Zdroj úloh: hodnoceni_4_nastroju.xlsx, 51 bloků, 11 tabulek.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 t="str">
        <x:v>Přesné verze, data testů, licence, ceny a důkazy zde nejsou vymyšleny.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 t="str">
        <x:v>V aplikaci lze importovat JSON; Excel upravujte ve žlutých buňkách.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 t="str">
        <x:v>Pro shodu Excel/PHP musí být v obou stejné vstupní matice.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 t="str">
        <x:v>Zdroj metody: Saaty (1990); Ishizaka a Labib (2011); AHP_SPECIFIKACE.md.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 t="str">
        <x:v>Nízké CR znamená soudržnost, nikoli věrohodnost syntetických dat.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